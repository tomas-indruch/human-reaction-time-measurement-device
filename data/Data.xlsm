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rinterSettings/printerSettings1.bin" ContentType="application/vnd.openxmlformats-officedocument.spreadsheetml.printerSettings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3c8117024e0930da/Plocha/bc_projekt/"/>
    </mc:Choice>
  </mc:AlternateContent>
  <xr:revisionPtr revIDLastSave="53235" documentId="8_{C2DB0E07-A0E8-4AD7-84DE-927D77B54243}" xr6:coauthVersionLast="47" xr6:coauthVersionMax="47" xr10:uidLastSave="{46B209D7-BE50-4428-BA2B-F81C0367635F}"/>
  <bookViews>
    <workbookView xWindow="-108" yWindow="-108" windowWidth="23256" windowHeight="12456" xr2:uid="{AA7CAF27-3827-403A-91A5-03351423A28F}"/>
  </bookViews>
  <sheets>
    <sheet name="Výsledky" sheetId="1" r:id="rId1"/>
    <sheet name="Vstupní data" sheetId="5" r:id="rId2"/>
    <sheet name="Výstupní data" sheetId="4" r:id="rId3"/>
    <sheet name="Nastavení" sheetId="3" r:id="rId4"/>
    <sheet name="Manifest" sheetId="2" r:id="rId5"/>
  </sheets>
  <definedNames>
    <definedName name="DataChannelCountSetting">Nastavení!$C$8</definedName>
    <definedName name="DataDelaySetting">Nastavení!$C$4</definedName>
    <definedName name="DataOrientationSetting">Nastavení!$C$10</definedName>
    <definedName name="DataRowCountSetting">Nastavení!$C$6</definedName>
    <definedName name="Manifest_BaudRate">Manifest!$I$9</definedName>
    <definedName name="Manifest_DataInterval">Manifest!$I$7</definedName>
    <definedName name="Manifest_Generated">Manifest!$K$5</definedName>
    <definedName name="Manifest_Id">Manifest!$I$5:$J$5</definedName>
    <definedName name="Manifest_Schema">Manifest!$L$1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2" i="1" l="1"/>
  <c r="C32" i="1"/>
  <c r="C35" i="1"/>
  <c r="D35" i="1"/>
  <c r="E35" i="1"/>
  <c r="F35" i="1"/>
  <c r="G35" i="1"/>
  <c r="H35" i="1"/>
  <c r="I35" i="1"/>
  <c r="B35" i="1"/>
  <c r="C36" i="1"/>
  <c r="D36" i="1"/>
  <c r="E36" i="1"/>
  <c r="F36" i="1"/>
  <c r="G36" i="1"/>
  <c r="H36" i="1"/>
  <c r="I36" i="1"/>
  <c r="C34" i="1"/>
  <c r="D34" i="1"/>
  <c r="E34" i="1"/>
  <c r="F34" i="1"/>
  <c r="G34" i="1"/>
  <c r="H34" i="1"/>
  <c r="I34" i="1"/>
  <c r="C33" i="1"/>
  <c r="D33" i="1"/>
  <c r="E33" i="1"/>
  <c r="F33" i="1"/>
  <c r="G33" i="1"/>
  <c r="H33" i="1"/>
  <c r="I33" i="1"/>
  <c r="D32" i="1"/>
  <c r="E32" i="1"/>
  <c r="F32" i="1"/>
  <c r="G32" i="1"/>
  <c r="H32" i="1"/>
  <c r="I32" i="1"/>
  <c r="B36" i="1"/>
  <c r="B34" i="1"/>
  <c r="B33" i="1"/>
</calcChain>
</file>

<file path=xl/sharedStrings.xml><?xml version="1.0" encoding="utf-8"?>
<sst xmlns="http://schemas.openxmlformats.org/spreadsheetml/2006/main" count="102" uniqueCount="50">
  <si>
    <t>Kanály</t>
  </si>
  <si>
    <t>ID zdroje dat</t>
  </si>
  <si>
    <t>Datový interval (ms)</t>
  </si>
  <si>
    <t>Přenosová rychlost</t>
  </si>
  <si>
    <t>USB-SERIAL CH340</t>
  </si>
  <si>
    <t>Tento manifest se vygeneroval pro připojené zařízení. Tady můžete upravit název zařízení a data kanálu a list Příchozí data se bude aktualizovat.</t>
  </si>
  <si>
    <t>ID</t>
  </si>
  <si>
    <t>Název</t>
  </si>
  <si>
    <t>Popis</t>
  </si>
  <si>
    <t>Měrná jednotka</t>
  </si>
  <si>
    <t>Aktivní</t>
  </si>
  <si>
    <t>CH1</t>
  </si>
  <si>
    <t>ü</t>
  </si>
  <si>
    <t>CH2</t>
  </si>
  <si>
    <t>CH3</t>
  </si>
  <si>
    <t>CH4</t>
  </si>
  <si>
    <t>CH5</t>
  </si>
  <si>
    <t>CH6</t>
  </si>
  <si>
    <t>CH7</t>
  </si>
  <si>
    <t>CH8</t>
  </si>
  <si>
    <t>CH9</t>
  </si>
  <si>
    <t>CH10</t>
  </si>
  <si>
    <t>Nastavení sešitu</t>
  </si>
  <si>
    <t>Následující nastavení ovlivní, jakým způsobem se budou data načítat ze zdrojů dat do aktuálního sešitu. Pokud vymažete obsah pole, obnovíte jeho výchozí nastavení.</t>
  </si>
  <si>
    <t>Řádky dat</t>
  </si>
  <si>
    <t>Datové kanály</t>
  </si>
  <si>
    <t>Orientace dat</t>
  </si>
  <si>
    <t>Od nejstaršího</t>
  </si>
  <si>
    <r>
      <t>UPOZORNĚNÍ:</t>
    </r>
    <r>
      <rPr>
        <sz val="11"/>
        <color theme="1"/>
        <rFont val="Segoe UI Light"/>
        <family val="2"/>
        <charset val="238"/>
      </rPr>
      <t xml:space="preserve"> Změna nastavení může způsobit ztrátu obsahu a/nebo vlastního formátování na listech se vstupními a výstupními daty. Vždy soubor uložte, než změníte hodnoty.</t>
    </r>
  </si>
  <si>
    <t>Výstupní data (do zařízení)</t>
  </si>
  <si>
    <t>Data zadaná do kanálů níže budou odeslána do aktuálně připojeného zařízení ve formě řetězce odděleného čárkami.</t>
  </si>
  <si>
    <t>Data pocházející z aktuálního zdroje dat se hned po přijetí zobrazí v následující části.</t>
  </si>
  <si>
    <t>Aktuální data</t>
  </si>
  <si>
    <t>TIME</t>
  </si>
  <si>
    <t>Historická data</t>
  </si>
  <si>
    <t>Od nejnovějšího</t>
  </si>
  <si>
    <t>Průměr</t>
  </si>
  <si>
    <t>Max</t>
  </si>
  <si>
    <t>Min</t>
  </si>
  <si>
    <t>Směrodatná odchylka</t>
  </si>
  <si>
    <t>Medián</t>
  </si>
  <si>
    <t>STATISTIKA</t>
  </si>
  <si>
    <t>Tlačítko</t>
  </si>
  <si>
    <t>Yellow</t>
  </si>
  <si>
    <t>CB26F0D7-65F5-42F9-8DC3-E63025B265BE</t>
  </si>
  <si>
    <t>{"Channels":[{"Description":null,"Id":null,"IsGhost":false,"Name":null,"Status":"Active","SubChannels":[{"Description":null,"Id":"CH1","IsGhost":false,"Name":"CH1","Status":"Active","SubChannels":[],"UnitOfMeasure":null},{"Description":null,"Id":"CH2","IsGhost":false,"Name":"CH2","Status":"Active","SubChannels":[],"UnitOfMeasure":null},{"Description":null,"Id":"CH3","IsGhost":false,"Name":"CH3","Status":"Active","SubChannels":[],"UnitOfMeasure":null},{"Description":null,"Id":"CH4","IsGhost":false,"Name":"CH4","Status":"Active","SubChannels":[],"UnitOfMeasure":null},{"Description":null,"Id":"CH5","IsGhost":false,"Name":"CH5","Status":"Active","SubChannels":[],"UnitOfMeasure":null},{"Description":null,"Id":"CH6","IsGhost":false,"Name":"CH6","Status":"Active","SubChannels":[],"UnitOfMeasure":null},{"Description":null,"Id":"CH7","IsGhost":false,"Name":"CH7","Status":"Active","SubChannels":[],"UnitOfMeasure":null},{"Description":null,"Id":"CH8","IsGhost":false,"Name":"CH8","Status":"Active","SubChannels":[],"UnitOfMeasure":null},{"Description":null,"Id":"CH9","IsGhost":false,"Name":"CH9","Status":"Active","SubChannels":[],"UnitOfMeasure":null},{"Description":null,"Id":"CH10","IsGhost":false,"Name":"CH10","Status":"Active","SubChannels":[],"UnitOfMeasure":null}],"UnitOfMeasure":null}],"Commands":[],"DataInterval":150,"Id":"CB26F0D7-65F5-42F9-8DC3-E63025B265BE","IsGenerated":true,"Name":"USB-SERIAL CH340","Version":null,"BaudRate":9600}</t>
  </si>
  <si>
    <t>Příchozí data (z: USB-SERIAL CH340 (COM5))</t>
  </si>
  <si>
    <t>Green</t>
  </si>
  <si>
    <t>Blue</t>
  </si>
  <si>
    <t>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</si>
</sst>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h:mm:ss.00"/>
  </numFmts>
  <fonts count="20" x14ac:knownFonts="1">
    <font>
      <sz val="11"/>
      <color theme="1"/>
      <name val="Aptos Narrow"/>
      <family val="2"/>
      <scheme val="minor"/>
    </font>
    <font>
      <sz val="11"/>
      <color theme="1"/>
      <name val="Segoe UI Light"/>
      <family val="2"/>
      <charset val="238"/>
    </font>
    <font>
      <sz val="16"/>
      <color rgb="FF696969"/>
      <name val="Segoe UI Light"/>
      <family val="2"/>
      <charset val="238"/>
    </font>
    <font>
      <sz val="1"/>
      <color rgb="FFFFFFFF"/>
      <name val="Aptos Narrow"/>
      <family val="2"/>
      <scheme val="minor"/>
    </font>
    <font>
      <sz val="11"/>
      <color rgb="FF000000"/>
      <name val="Segoe UI Light"/>
      <family val="2"/>
      <charset val="238"/>
    </font>
    <font>
      <sz val="10"/>
      <color rgb="FF000000"/>
      <name val="Segoe UI Light"/>
      <family val="2"/>
      <charset val="238"/>
    </font>
    <font>
      <sz val="20"/>
      <color rgb="FF696969"/>
      <name val="Segoe UI Light"/>
      <family val="2"/>
      <charset val="238"/>
    </font>
    <font>
      <sz val="11"/>
      <color rgb="FF696969"/>
      <name val="Segoe UI Light"/>
      <family val="2"/>
      <charset val="238"/>
    </font>
    <font>
      <b/>
      <sz val="15"/>
      <color rgb="FFFFFFFF"/>
      <name val="Segoe UI"/>
      <family val="2"/>
      <charset val="238"/>
    </font>
    <font>
      <sz val="10"/>
      <color rgb="FF000000"/>
      <name val="Segoe UI"/>
      <family val="2"/>
      <charset val="238"/>
    </font>
    <font>
      <sz val="10"/>
      <color rgb="FF000000"/>
      <name val="Wingdings"/>
      <charset val="2"/>
    </font>
    <font>
      <i/>
      <sz val="11"/>
      <color rgb="FF808080"/>
      <name val="Segoe UI Light"/>
      <family val="2"/>
      <charset val="238"/>
    </font>
    <font>
      <sz val="11"/>
      <color rgb="FFFF0000"/>
      <name val="Segoe UI Light"/>
      <family val="2"/>
      <charset val="238"/>
    </font>
    <font>
      <sz val="10"/>
      <color rgb="FF505050"/>
      <name val="Segoe UI"/>
      <family val="2"/>
      <charset val="238"/>
    </font>
    <font>
      <sz val="11"/>
      <color rgb="FF505050"/>
      <name val="Segoe UI"/>
      <family val="2"/>
      <charset val="238"/>
    </font>
    <font>
      <sz val="13"/>
      <color rgb="FF505050"/>
      <name val="Segoe UI"/>
      <family val="2"/>
      <charset val="238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ECECEC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DFF0FF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2ECBFF"/>
        <bgColor indexed="64"/>
      </patternFill>
    </fill>
    <fill>
      <patternFill patternType="solid">
        <fgColor rgb="FFD7F3FE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EA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CDBC6"/>
        <bgColor indexed="64"/>
      </patternFill>
    </fill>
    <fill>
      <patternFill patternType="solid">
        <fgColor rgb="FFCC9900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rgb="FFFFFFFF"/>
      </bottom>
      <diagonal/>
    </border>
    <border>
      <left style="hair">
        <color rgb="FFB4B4B4"/>
      </left>
      <right style="hair">
        <color rgb="FFB4B4B4"/>
      </right>
      <top/>
      <bottom/>
      <diagonal/>
    </border>
    <border>
      <left style="hair">
        <color rgb="FFB4B4B4"/>
      </left>
      <right/>
      <top/>
      <bottom/>
      <diagonal/>
    </border>
    <border>
      <left style="hair">
        <color rgb="FFB4B4B4"/>
      </left>
      <right style="hair">
        <color rgb="FFB4B4B4"/>
      </right>
      <top style="hair">
        <color rgb="FFB4B4B4"/>
      </top>
      <bottom/>
      <diagonal/>
    </border>
    <border>
      <left/>
      <right/>
      <top style="hair">
        <color rgb="FFB4B4B4"/>
      </top>
      <bottom/>
      <diagonal/>
    </border>
    <border>
      <left style="hair">
        <color rgb="FFB4B4B4"/>
      </left>
      <right/>
      <top style="hair">
        <color rgb="FFB4B4B4"/>
      </top>
      <bottom/>
      <diagonal/>
    </border>
    <border>
      <left/>
      <right/>
      <top style="hair">
        <color rgb="FFB4B4B4"/>
      </top>
      <bottom style="thick">
        <color rgb="FFFFFFFF"/>
      </bottom>
      <diagonal/>
    </border>
    <border>
      <left style="hair">
        <color rgb="FFB4B4B4"/>
      </left>
      <right style="hair">
        <color rgb="FFB4B4B4"/>
      </right>
      <top style="hair">
        <color rgb="FFB4B4B4"/>
      </top>
      <bottom style="thick">
        <color rgb="FFFFFFFF"/>
      </bottom>
      <diagonal/>
    </border>
    <border>
      <left style="hair">
        <color rgb="FFB4B4B4"/>
      </left>
      <right/>
      <top style="hair">
        <color rgb="FFB4B4B4"/>
      </top>
      <bottom style="thick">
        <color rgb="FFFFFFFF"/>
      </bottom>
      <diagonal/>
    </border>
    <border>
      <left style="hair">
        <color rgb="FFCECECE"/>
      </left>
      <right style="hair">
        <color rgb="FFCECECE"/>
      </right>
      <top style="hair">
        <color rgb="FFCECECE"/>
      </top>
      <bottom style="hair">
        <color rgb="FFCECECE"/>
      </bottom>
      <diagonal/>
    </border>
    <border>
      <left/>
      <right style="thick">
        <color rgb="FF0FC3FF"/>
      </right>
      <top/>
      <bottom/>
      <diagonal/>
    </border>
    <border>
      <left style="thick">
        <color rgb="FF0FC3FF"/>
      </left>
      <right style="thick">
        <color rgb="FF0FC3FF"/>
      </right>
      <top/>
      <bottom/>
      <diagonal/>
    </border>
    <border>
      <left style="thin">
        <color rgb="FF0FC3FF"/>
      </left>
      <right style="thin">
        <color rgb="FF0FC3FF"/>
      </right>
      <top/>
      <bottom style="thin">
        <color rgb="FF0FC3FF"/>
      </bottom>
      <diagonal/>
    </border>
    <border>
      <left style="hair">
        <color rgb="FFFFF2CC"/>
      </left>
      <right style="hair">
        <color rgb="FFFFF2CC"/>
      </right>
      <top/>
      <bottom style="hair">
        <color rgb="FFFFF2CC"/>
      </bottom>
      <diagonal/>
    </border>
    <border>
      <left/>
      <right/>
      <top style="hair">
        <color rgb="FFFFF2CC"/>
      </top>
      <bottom/>
      <diagonal/>
    </border>
    <border>
      <left style="hair">
        <color rgb="FFBFBFBF"/>
      </left>
      <right style="hair">
        <color rgb="FFBFBFBF"/>
      </right>
      <top/>
      <bottom style="hair">
        <color rgb="FFBFBFBF"/>
      </bottom>
      <diagonal/>
    </border>
    <border>
      <left style="hair">
        <color rgb="FFBFBFBF"/>
      </left>
      <right style="hair">
        <color rgb="FFBFBFBF"/>
      </right>
      <top style="hair">
        <color rgb="FFBFBFBF"/>
      </top>
      <bottom style="hair">
        <color rgb="FFBFBFB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2">
    <xf numFmtId="0" fontId="0" fillId="0" borderId="0" xfId="0"/>
    <xf numFmtId="0" fontId="0" fillId="2" borderId="0" xfId="0" applyFill="1"/>
    <xf numFmtId="0" fontId="0" fillId="2" borderId="0" xfId="0" applyFill="1" applyProtection="1">
      <protection locked="0"/>
    </xf>
    <xf numFmtId="0" fontId="9" fillId="5" borderId="0" xfId="0" applyFont="1" applyFill="1" applyAlignment="1" applyProtection="1">
      <alignment horizontal="left" vertical="center" indent="1"/>
      <protection locked="0"/>
    </xf>
    <xf numFmtId="0" fontId="10" fillId="6" borderId="2" xfId="0" applyFont="1" applyFill="1" applyBorder="1" applyAlignment="1" applyProtection="1">
      <alignment horizontal="left" vertical="center" indent="1"/>
      <protection locked="0"/>
    </xf>
    <xf numFmtId="0" fontId="5" fillId="6" borderId="3" xfId="0" applyFont="1" applyFill="1" applyBorder="1" applyAlignment="1" applyProtection="1">
      <alignment horizontal="left" vertical="center" indent="1"/>
      <protection locked="0"/>
    </xf>
    <xf numFmtId="0" fontId="10" fillId="6" borderId="4" xfId="0" applyFont="1" applyFill="1" applyBorder="1" applyAlignment="1" applyProtection="1">
      <alignment horizontal="left" vertical="center" indent="1"/>
      <protection locked="0"/>
    </xf>
    <xf numFmtId="0" fontId="5" fillId="6" borderId="5" xfId="0" applyFont="1" applyFill="1" applyBorder="1" applyAlignment="1" applyProtection="1">
      <alignment horizontal="left" vertical="center" indent="1"/>
      <protection locked="0"/>
    </xf>
    <xf numFmtId="0" fontId="5" fillId="6" borderId="6" xfId="0" applyFont="1" applyFill="1" applyBorder="1" applyAlignment="1" applyProtection="1">
      <alignment horizontal="left" vertical="center" indent="1"/>
      <protection locked="0"/>
    </xf>
    <xf numFmtId="0" fontId="5" fillId="6" borderId="7" xfId="0" applyFont="1" applyFill="1" applyBorder="1" applyAlignment="1" applyProtection="1">
      <alignment horizontal="left" vertical="center" indent="1"/>
      <protection locked="0"/>
    </xf>
    <xf numFmtId="0" fontId="5" fillId="6" borderId="9" xfId="0" applyFont="1" applyFill="1" applyBorder="1" applyAlignment="1" applyProtection="1">
      <alignment horizontal="left" vertical="center" indent="1"/>
      <protection locked="0"/>
    </xf>
    <xf numFmtId="0" fontId="10" fillId="6" borderId="8" xfId="0" applyFont="1" applyFill="1" applyBorder="1" applyAlignment="1" applyProtection="1">
      <alignment horizontal="left" vertical="center" indent="1"/>
      <protection locked="0"/>
    </xf>
    <xf numFmtId="0" fontId="0" fillId="7" borderId="0" xfId="0" applyFill="1" applyProtection="1">
      <protection locked="0"/>
    </xf>
    <xf numFmtId="0" fontId="11" fillId="7" borderId="0" xfId="0" applyFont="1" applyFill="1" applyAlignment="1" applyProtection="1">
      <alignment horizontal="left" vertical="center" indent="1"/>
      <protection locked="0"/>
    </xf>
    <xf numFmtId="0" fontId="5" fillId="2" borderId="10" xfId="0" applyFont="1" applyFill="1" applyBorder="1" applyAlignment="1" applyProtection="1">
      <alignment horizontal="left" vertical="center" indent="1"/>
      <protection locked="0"/>
    </xf>
    <xf numFmtId="0" fontId="14" fillId="9" borderId="13" xfId="0" applyFont="1" applyFill="1" applyBorder="1" applyAlignment="1" applyProtection="1">
      <alignment horizontal="right" vertical="center" indent="1"/>
      <protection locked="0"/>
    </xf>
    <xf numFmtId="0" fontId="9" fillId="10" borderId="0" xfId="0" applyFont="1" applyFill="1" applyAlignment="1">
      <alignment horizontal="center" vertical="center"/>
    </xf>
    <xf numFmtId="0" fontId="14" fillId="11" borderId="14" xfId="0" applyFont="1" applyFill="1" applyBorder="1" applyAlignment="1" applyProtection="1">
      <alignment horizontal="right" vertical="center" indent="1"/>
      <protection locked="0"/>
    </xf>
    <xf numFmtId="164" fontId="14" fillId="11" borderId="14" xfId="0" applyNumberFormat="1" applyFont="1" applyFill="1" applyBorder="1" applyAlignment="1" applyProtection="1">
      <alignment horizontal="left" vertical="center" indent="1"/>
      <protection locked="0"/>
    </xf>
    <xf numFmtId="0" fontId="14" fillId="12" borderId="17" xfId="0" applyFont="1" applyFill="1" applyBorder="1" applyAlignment="1" applyProtection="1">
      <alignment horizontal="right" vertical="center" indent="1"/>
      <protection locked="0"/>
    </xf>
    <xf numFmtId="164" fontId="14" fillId="12" borderId="17" xfId="0" applyNumberFormat="1" applyFont="1" applyFill="1" applyBorder="1" applyAlignment="1" applyProtection="1">
      <alignment horizontal="left" vertical="center" indent="1"/>
      <protection locked="0"/>
    </xf>
    <xf numFmtId="164" fontId="14" fillId="13" borderId="16" xfId="0" applyNumberFormat="1" applyFont="1" applyFill="1" applyBorder="1" applyAlignment="1" applyProtection="1">
      <alignment horizontal="left" vertical="center" indent="1"/>
      <protection locked="0"/>
    </xf>
    <xf numFmtId="0" fontId="14" fillId="13" borderId="16" xfId="0" applyFont="1" applyFill="1" applyBorder="1" applyAlignment="1" applyProtection="1">
      <alignment horizontal="right" vertical="center" indent="1"/>
      <protection locked="0"/>
    </xf>
    <xf numFmtId="0" fontId="0" fillId="0" borderId="0" xfId="0" applyAlignment="1">
      <alignment horizontal="center"/>
    </xf>
    <xf numFmtId="0" fontId="17" fillId="14" borderId="19" xfId="0" applyFont="1" applyFill="1" applyBorder="1" applyAlignment="1">
      <alignment horizontal="center"/>
    </xf>
    <xf numFmtId="2" fontId="0" fillId="0" borderId="20" xfId="0" applyNumberFormat="1" applyBorder="1" applyAlignment="1">
      <alignment horizontal="center"/>
    </xf>
    <xf numFmtId="2" fontId="0" fillId="0" borderId="21" xfId="0" applyNumberFormat="1" applyBorder="1" applyAlignment="1">
      <alignment horizontal="center"/>
    </xf>
    <xf numFmtId="2" fontId="0" fillId="0" borderId="22" xfId="0" applyNumberFormat="1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29" xfId="0" applyBorder="1" applyAlignment="1">
      <alignment horizontal="center"/>
    </xf>
    <xf numFmtId="2" fontId="0" fillId="0" borderId="23" xfId="0" applyNumberFormat="1" applyBorder="1" applyAlignment="1">
      <alignment horizontal="center"/>
    </xf>
    <xf numFmtId="2" fontId="0" fillId="0" borderId="18" xfId="0" applyNumberFormat="1" applyBorder="1" applyAlignment="1">
      <alignment horizontal="center"/>
    </xf>
    <xf numFmtId="2" fontId="0" fillId="0" borderId="29" xfId="0" applyNumberFormat="1" applyBorder="1" applyAlignment="1">
      <alignment horizontal="center"/>
    </xf>
    <xf numFmtId="2" fontId="0" fillId="0" borderId="24" xfId="0" applyNumberFormat="1" applyBorder="1" applyAlignment="1">
      <alignment horizontal="center"/>
    </xf>
    <xf numFmtId="2" fontId="0" fillId="0" borderId="30" xfId="0" applyNumberFormat="1" applyBorder="1" applyAlignment="1">
      <alignment horizontal="center"/>
    </xf>
    <xf numFmtId="2" fontId="0" fillId="0" borderId="31" xfId="0" applyNumberFormat="1" applyBorder="1" applyAlignment="1">
      <alignment horizontal="center"/>
    </xf>
    <xf numFmtId="0" fontId="17" fillId="15" borderId="19" xfId="0" applyFont="1" applyFill="1" applyBorder="1" applyAlignment="1">
      <alignment horizontal="center"/>
    </xf>
    <xf numFmtId="0" fontId="17" fillId="16" borderId="19" xfId="0" applyFont="1" applyFill="1" applyBorder="1" applyAlignment="1">
      <alignment horizontal="center"/>
    </xf>
    <xf numFmtId="0" fontId="17" fillId="17" borderId="19" xfId="0" applyFont="1" applyFill="1" applyBorder="1" applyAlignment="1">
      <alignment horizontal="center"/>
    </xf>
    <xf numFmtId="0" fontId="17" fillId="18" borderId="19" xfId="0" applyFont="1" applyFill="1" applyBorder="1" applyAlignment="1">
      <alignment horizontal="center"/>
    </xf>
    <xf numFmtId="0" fontId="17" fillId="19" borderId="19" xfId="0" applyFont="1" applyFill="1" applyBorder="1" applyAlignment="1">
      <alignment horizontal="center"/>
    </xf>
    <xf numFmtId="0" fontId="17" fillId="20" borderId="19" xfId="0" applyFont="1" applyFill="1" applyBorder="1" applyAlignment="1">
      <alignment horizontal="center"/>
    </xf>
    <xf numFmtId="0" fontId="19" fillId="21" borderId="19" xfId="0" applyFont="1" applyFill="1" applyBorder="1" applyAlignment="1">
      <alignment horizontal="center"/>
    </xf>
    <xf numFmtId="0" fontId="17" fillId="22" borderId="27" xfId="0" applyFont="1" applyFill="1" applyBorder="1" applyAlignment="1">
      <alignment horizontal="center"/>
    </xf>
    <xf numFmtId="0" fontId="17" fillId="22" borderId="25" xfId="0" applyFont="1" applyFill="1" applyBorder="1" applyAlignment="1">
      <alignment horizontal="center"/>
    </xf>
    <xf numFmtId="0" fontId="17" fillId="22" borderId="26" xfId="0" applyFont="1" applyFill="1" applyBorder="1" applyAlignment="1">
      <alignment horizontal="center"/>
    </xf>
    <xf numFmtId="0" fontId="17" fillId="22" borderId="28" xfId="0" applyFont="1" applyFill="1" applyBorder="1" applyAlignment="1">
      <alignment horizontal="center"/>
    </xf>
    <xf numFmtId="0" fontId="18" fillId="23" borderId="0" xfId="0" applyFont="1" applyFill="1" applyAlignment="1">
      <alignment horizontal="center"/>
    </xf>
    <xf numFmtId="0" fontId="6" fillId="2" borderId="0" xfId="0" applyFont="1" applyFill="1" applyAlignment="1">
      <alignment horizontal="left" indent="1"/>
    </xf>
    <xf numFmtId="0" fontId="7" fillId="2" borderId="0" xfId="0" applyFont="1" applyFill="1" applyAlignment="1">
      <alignment horizontal="left" vertical="top" wrapText="1" indent="1"/>
    </xf>
    <xf numFmtId="0" fontId="6" fillId="0" borderId="0" xfId="0" applyFont="1" applyAlignment="1">
      <alignment horizontal="left" indent="1"/>
    </xf>
    <xf numFmtId="0" fontId="7" fillId="0" borderId="0" xfId="0" applyFont="1" applyAlignment="1">
      <alignment horizontal="left" vertical="top" wrapText="1" indent="1"/>
    </xf>
    <xf numFmtId="0" fontId="6" fillId="7" borderId="0" xfId="0" applyFont="1" applyFill="1" applyAlignment="1" applyProtection="1">
      <alignment horizontal="left" indent="1"/>
      <protection locked="0"/>
    </xf>
    <xf numFmtId="0" fontId="7" fillId="7" borderId="0" xfId="0" applyFont="1" applyFill="1" applyAlignment="1" applyProtection="1">
      <alignment horizontal="left" vertical="top" wrapText="1" indent="1"/>
      <protection locked="0"/>
    </xf>
    <xf numFmtId="0" fontId="12" fillId="7" borderId="0" xfId="0" applyFont="1" applyFill="1" applyAlignment="1" applyProtection="1">
      <alignment horizontal="left" vertical="center" wrapText="1" indent="1"/>
      <protection locked="0"/>
    </xf>
    <xf numFmtId="0" fontId="6" fillId="2" borderId="0" xfId="0" applyFont="1" applyFill="1" applyAlignment="1" applyProtection="1">
      <alignment horizontal="left" indent="1"/>
      <protection locked="0"/>
    </xf>
    <xf numFmtId="0" fontId="7" fillId="2" borderId="0" xfId="0" applyFont="1" applyFill="1" applyAlignment="1" applyProtection="1">
      <alignment horizontal="left" vertical="top" wrapText="1" indent="1"/>
      <protection locked="0"/>
    </xf>
    <xf numFmtId="0" fontId="8" fillId="4" borderId="0" xfId="0" applyFont="1" applyFill="1" applyAlignment="1" applyProtection="1">
      <alignment horizontal="left" vertical="center" indent="1"/>
      <protection locked="0"/>
    </xf>
    <xf numFmtId="0" fontId="2" fillId="2" borderId="0" xfId="0" applyFont="1" applyFill="1" applyAlignment="1" applyProtection="1">
      <alignment horizontal="left" indent="1"/>
      <protection locked="0"/>
    </xf>
    <xf numFmtId="0" fontId="8" fillId="4" borderId="1" xfId="0" applyFont="1" applyFill="1" applyBorder="1" applyAlignment="1" applyProtection="1">
      <alignment horizontal="left" vertical="center" indent="1"/>
      <protection locked="0"/>
    </xf>
    <xf numFmtId="0" fontId="3" fillId="2" borderId="0" xfId="0" applyFont="1" applyFill="1" applyAlignment="1" applyProtection="1">
      <alignment horizontal="left"/>
    </xf>
    <xf numFmtId="0" fontId="4" fillId="2" borderId="0" xfId="0" applyFont="1" applyFill="1" applyAlignment="1" applyProtection="1">
      <alignment horizontal="left"/>
    </xf>
    <xf numFmtId="0" fontId="5" fillId="3" borderId="0" xfId="0" applyFont="1" applyFill="1" applyAlignment="1" applyProtection="1">
      <alignment horizontal="left" vertical="center" indent="1"/>
    </xf>
    <xf numFmtId="0" fontId="5" fillId="3" borderId="0" xfId="0" applyFont="1" applyFill="1" applyAlignment="1" applyProtection="1">
      <alignment horizontal="left" vertical="center" indent="1"/>
    </xf>
    <xf numFmtId="0" fontId="8" fillId="4" borderId="0" xfId="0" applyFont="1" applyFill="1" applyBorder="1" applyAlignment="1" applyProtection="1">
      <alignment horizontal="left" vertical="center" indent="1"/>
      <protection locked="0"/>
    </xf>
    <xf numFmtId="0" fontId="5" fillId="6" borderId="0" xfId="0" applyFont="1" applyFill="1" applyBorder="1" applyAlignment="1" applyProtection="1">
      <alignment horizontal="left" vertical="center" indent="1"/>
      <protection locked="0"/>
    </xf>
    <xf numFmtId="0" fontId="4" fillId="7" borderId="0" xfId="0" applyFont="1" applyFill="1" applyAlignment="1" applyProtection="1">
      <alignment horizontal="left" vertical="center" indent="1"/>
    </xf>
    <xf numFmtId="0" fontId="13" fillId="8" borderId="11" xfId="0" applyFont="1" applyFill="1" applyBorder="1" applyAlignment="1" applyProtection="1">
      <alignment horizontal="center" vertical="center"/>
    </xf>
    <xf numFmtId="0" fontId="13" fillId="8" borderId="12" xfId="0" applyFont="1" applyFill="1" applyBorder="1" applyAlignment="1" applyProtection="1">
      <alignment horizontal="center" vertical="center"/>
    </xf>
    <xf numFmtId="0" fontId="15" fillId="2" borderId="0" xfId="0" applyFont="1" applyFill="1" applyAlignment="1" applyProtection="1">
      <alignment horizontal="left" indent="1"/>
    </xf>
    <xf numFmtId="0" fontId="15" fillId="2" borderId="15" xfId="0" applyFont="1" applyFill="1" applyBorder="1" applyAlignment="1" applyProtection="1">
      <alignment horizontal="left" indent="1"/>
    </xf>
  </cellXfs>
  <cellStyles count="1">
    <cellStyle name="Normální" xfId="0" builtinId="0"/>
  </cellStyles>
  <dxfs count="38"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charset val="238"/>
        <scheme val="none"/>
      </font>
      <numFmt numFmtId="164" formatCode="h:mm:ss.00"/>
      <fill>
        <patternFill patternType="solid">
          <fgColor indexed="64"/>
          <bgColor rgb="FFFCFCFC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charset val="238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charset val="238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charset val="238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charset val="238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charset val="238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charset val="238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charset val="238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charset val="238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charset val="238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charset val="238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charset val="238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charset val="238"/>
        <scheme val="none"/>
      </font>
      <numFmt numFmtId="164" formatCode="h:mm:ss.00"/>
      <fill>
        <patternFill patternType="solid">
          <fgColor indexed="64"/>
          <bgColor rgb="FFFFFFEA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charset val="238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charset val="238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charset val="238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charset val="238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charset val="238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charset val="238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charset val="238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charset val="238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charset val="238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charset val="238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charset val="238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  <border diagonalUp="0" diagonalDown="0">
        <left/>
        <right/>
        <top/>
        <bottom/>
      </border>
    </dxf>
    <dxf>
      <fill>
        <patternFill patternType="solid">
          <fgColor indexed="64"/>
          <bgColor rgb="FFFFFFFF"/>
        </patternFill>
      </fill>
      <border diagonalUp="0" diagonalDown="0">
        <left/>
        <right/>
        <top/>
        <bottom/>
      </border>
    </dxf>
    <dxf>
      <fill>
        <patternFill patternType="solid">
          <fgColor indexed="64"/>
          <bgColor rgb="FFFFFFFF"/>
        </patternFill>
      </fill>
      <border diagonalUp="0" diagonalDown="0">
        <left/>
        <right/>
        <top/>
        <bottom/>
      </border>
    </dxf>
    <dxf>
      <fill>
        <patternFill patternType="solid">
          <fgColor indexed="64"/>
          <bgColor rgb="FFFFFFFF"/>
        </patternFill>
      </fill>
      <border diagonalUp="0" diagonalDown="0">
        <left/>
        <right/>
        <top/>
        <bottom/>
      </border>
    </dxf>
    <dxf>
      <fill>
        <patternFill patternType="solid">
          <fgColor indexed="64"/>
          <bgColor rgb="FFFFFFFF"/>
        </patternFill>
      </fill>
      <border diagonalUp="0" diagonalDown="0" outline="0">
        <left/>
        <right/>
        <top/>
        <bottom/>
      </border>
    </dxf>
    <dxf>
      <fill>
        <patternFill patternType="solid">
          <fgColor indexed="64"/>
          <bgColor rgb="FFFFFFFF"/>
        </patternFill>
      </fill>
      <border diagonalUp="0" diagonalDown="0" outline="0">
        <left/>
        <right/>
        <top/>
        <bottom/>
      </border>
    </dxf>
    <dxf>
      <fill>
        <patternFill patternType="solid">
          <fgColor indexed="64"/>
          <bgColor rgb="FFFFFFFF"/>
        </patternFill>
      </fill>
      <border diagonalUp="0" diagonalDown="0" outline="0">
        <left/>
        <right/>
        <top/>
        <bottom/>
      </border>
    </dxf>
    <dxf>
      <fill>
        <patternFill patternType="solid">
          <fgColor indexed="64"/>
          <bgColor rgb="FFFFFFFF"/>
        </patternFill>
      </fill>
      <border diagonalUp="0" diagonalDown="0" outline="0">
        <left/>
        <right/>
        <top/>
        <bottom/>
      </border>
    </dxf>
    <dxf>
      <fill>
        <patternFill patternType="solid">
          <fgColor indexed="64"/>
          <bgColor rgb="FFFFFFFF"/>
        </patternFill>
      </fill>
      <border diagonalUp="0" diagonalDown="0" outline="0">
        <left/>
        <right/>
        <top/>
        <bottom/>
      </border>
    </dxf>
    <dxf>
      <fill>
        <patternFill patternType="solid">
          <fgColor indexed="64"/>
          <bgColor rgb="FFFFFFFF"/>
        </patternFill>
      </fill>
      <border diagonalUp="0" diagonalDown="0" outline="0">
        <left/>
        <right/>
        <top/>
        <bottom/>
      </border>
    </dxf>
    <dxf>
      <fill>
        <patternFill patternType="solid">
          <fgColor indexed="64"/>
          <bgColor rgb="FFFFFFFF"/>
        </patternFill>
      </fill>
      <border diagonalUp="0" diagonalDown="0" outline="0">
        <left/>
        <right/>
        <top/>
        <bottom/>
      </border>
    </dxf>
    <dxf>
      <fill>
        <patternFill patternType="solid">
          <fgColor indexed="64"/>
          <bgColor rgb="FFFFFFFF"/>
        </patternFill>
      </fill>
    </dxf>
  </dxfs>
  <tableStyles count="1" defaultTableStyle="TableStyleMedium2" defaultPivotStyle="PivotStyleLight16">
    <tableStyle name="Invisible" pivot="0" table="0" count="0" xr9:uid="{5E57D69A-5641-44F4-91C4-A394757DB9ED}"/>
  </tableStyles>
  <colors>
    <mruColors>
      <color rgb="FFCC9900"/>
      <color rgb="FFFCDBC6"/>
      <color rgb="FFD69514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BTN1</c:v>
          </c:tx>
          <c:spPr>
            <a:ln w="25400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38100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yVal>
            <c:numRef>
              <c:f>'Vstupní data'!$B$8:$B$17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2FA7-4E97-84AE-AD05AAD17DE2}"/>
            </c:ext>
          </c:extLst>
        </c:ser>
        <c:ser>
          <c:idx val="0"/>
          <c:order val="1"/>
          <c:tx>
            <c:v>BTN2</c:v>
          </c:tx>
          <c:spPr>
            <a:ln w="38100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38100">
                <a:solidFill>
                  <a:srgbClr val="FFFF00"/>
                </a:solidFill>
              </a:ln>
              <a:effectLst/>
            </c:spPr>
          </c:marker>
          <c:yVal>
            <c:numRef>
              <c:f>'Vstupní data'!$C$8:$C$17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2FA7-4E97-84AE-AD05AAD17DE2}"/>
            </c:ext>
          </c:extLst>
        </c:ser>
        <c:ser>
          <c:idx val="3"/>
          <c:order val="2"/>
          <c:tx>
            <c:v>BTN3</c:v>
          </c:tx>
          <c:spPr>
            <a:ln w="25400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38100">
                <a:solidFill>
                  <a:schemeClr val="accent2"/>
                </a:solidFill>
              </a:ln>
              <a:effectLst/>
            </c:spPr>
          </c:marker>
          <c:yVal>
            <c:numRef>
              <c:f>'Vstupní data'!$D$8:$D$17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393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315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2FA7-4E97-84AE-AD05AAD17DE2}"/>
            </c:ext>
          </c:extLst>
        </c:ser>
        <c:ser>
          <c:idx val="2"/>
          <c:order val="3"/>
          <c:tx>
            <c:v>BTN4</c:v>
          </c:tx>
          <c:spPr>
            <a:ln w="38100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38100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yVal>
            <c:numRef>
              <c:f>'Vstupní data'!$E$8:$E$17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2FA7-4E97-84AE-AD05AAD17DE2}"/>
            </c:ext>
          </c:extLst>
        </c:ser>
        <c:ser>
          <c:idx val="4"/>
          <c:order val="4"/>
          <c:tx>
            <c:v>BTN5</c:v>
          </c:tx>
          <c:spPr>
            <a:ln w="38100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38100">
                <a:solidFill>
                  <a:schemeClr val="accent5"/>
                </a:solidFill>
              </a:ln>
              <a:effectLst/>
            </c:spPr>
          </c:marker>
          <c:yVal>
            <c:numRef>
              <c:f>'Vstupní data'!$F$8:$F$17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2FA7-4E97-84AE-AD05AAD17DE2}"/>
            </c:ext>
          </c:extLst>
        </c:ser>
        <c:ser>
          <c:idx val="5"/>
          <c:order val="5"/>
          <c:tx>
            <c:v>BTN6</c:v>
          </c:tx>
          <c:spPr>
            <a:ln w="25400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38100">
                <a:solidFill>
                  <a:srgbClr val="FF0000"/>
                </a:solidFill>
              </a:ln>
              <a:effectLst/>
            </c:spPr>
          </c:marker>
          <c:yVal>
            <c:numRef>
              <c:f>'Vstupní data'!$G$8:$G$17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2FA7-4E97-84AE-AD05AAD17DE2}"/>
            </c:ext>
          </c:extLst>
        </c:ser>
        <c:ser>
          <c:idx val="6"/>
          <c:order val="6"/>
          <c:tx>
            <c:v>BTN7</c:v>
          </c:tx>
          <c:spPr>
            <a:ln w="38100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38100">
                <a:solidFill>
                  <a:schemeClr val="bg2">
                    <a:lumMod val="75000"/>
                  </a:schemeClr>
                </a:solidFill>
              </a:ln>
              <a:effectLst/>
            </c:spPr>
          </c:marker>
          <c:yVal>
            <c:numRef>
              <c:f>'Vstupní data'!$H$8:$H$17</c:f>
              <c:numCache>
                <c:formatCode>General</c:formatCode>
                <c:ptCount val="10"/>
                <c:pt idx="0">
                  <c:v>387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251</c:v>
                </c:pt>
                <c:pt idx="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2FA7-4E97-84AE-AD05AAD17DE2}"/>
            </c:ext>
          </c:extLst>
        </c:ser>
        <c:ser>
          <c:idx val="7"/>
          <c:order val="7"/>
          <c:tx>
            <c:v>BTN8</c:v>
          </c:tx>
          <c:spPr>
            <a:ln w="38100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38100">
                <a:solidFill>
                  <a:schemeClr val="tx1">
                    <a:lumMod val="95000"/>
                    <a:lumOff val="5000"/>
                  </a:schemeClr>
                </a:solidFill>
              </a:ln>
              <a:effectLst/>
            </c:spPr>
          </c:marker>
          <c:yVal>
            <c:numRef>
              <c:f>'Vstupní data'!$I$8:$I$17</c:f>
              <c:numCache>
                <c:formatCode>General</c:formatCode>
                <c:ptCount val="10"/>
                <c:pt idx="0">
                  <c:v>0</c:v>
                </c:pt>
                <c:pt idx="1">
                  <c:v>320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388</c:v>
                </c:pt>
                <c:pt idx="8">
                  <c:v>0</c:v>
                </c:pt>
                <c:pt idx="9">
                  <c:v>236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2FA7-4E97-84AE-AD05AAD17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3800511"/>
        <c:axId val="1153778911"/>
      </c:scatterChart>
      <c:valAx>
        <c:axId val="1153800511"/>
        <c:scaling>
          <c:orientation val="minMax"/>
          <c:max val="10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cs-CZ"/>
                  <a:t>Měření [-]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3778911"/>
        <c:crosses val="autoZero"/>
        <c:crossBetween val="midCat"/>
        <c:majorUnit val="1"/>
      </c:valAx>
      <c:valAx>
        <c:axId val="1153778911"/>
        <c:scaling>
          <c:orientation val="minMax"/>
          <c:max val="7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cs-CZ"/>
                  <a:t>Reakční čas [ms]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380051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430695</xdr:colOff>
      <xdr:row>26</xdr:row>
      <xdr:rowOff>187386</xdr:rowOff>
    </xdr:to>
    <xdr:graphicFrame macro="">
      <xdr:nvGraphicFramePr>
        <xdr:cNvPr id="3" name="Graf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364433</xdr:colOff>
      <xdr:row>22</xdr:row>
      <xdr:rowOff>102813</xdr:rowOff>
    </xdr:from>
    <xdr:to>
      <xdr:col>8</xdr:col>
      <xdr:colOff>1246144</xdr:colOff>
      <xdr:row>26</xdr:row>
      <xdr:rowOff>186633</xdr:rowOff>
    </xdr:to>
    <xdr:grpSp>
      <xdr:nvGrpSpPr>
        <xdr:cNvPr id="2" name="Skupina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9448077" y="4086338"/>
          <a:ext cx="2179374" cy="808097"/>
          <a:chOff x="8153951" y="4042023"/>
          <a:chExt cx="2087880" cy="807720"/>
        </a:xfrm>
      </xdr:grpSpPr>
      <xdr:sp macro="" textlink="">
        <xdr:nvSpPr>
          <xdr:cNvPr id="6" name="Obdélník: se zakulacenými rohy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>
            <a:off x="8153951" y="4042023"/>
            <a:ext cx="2087880" cy="807720"/>
          </a:xfrm>
          <a:prstGeom prst="roundRect">
            <a:avLst/>
          </a:prstGeom>
          <a:gradFill flip="none" rotWithShape="1">
            <a:gsLst>
              <a:gs pos="0">
                <a:schemeClr val="bg1">
                  <a:lumMod val="65000"/>
                  <a:shade val="30000"/>
                  <a:satMod val="115000"/>
                </a:schemeClr>
              </a:gs>
              <a:gs pos="50000">
                <a:schemeClr val="bg1">
                  <a:lumMod val="65000"/>
                  <a:shade val="67500"/>
                  <a:satMod val="115000"/>
                </a:schemeClr>
              </a:gs>
              <a:gs pos="100000">
                <a:schemeClr val="bg1">
                  <a:lumMod val="65000"/>
                  <a:shade val="100000"/>
                  <a:satMod val="115000"/>
                </a:schemeClr>
              </a:gs>
            </a:gsLst>
            <a:path path="circle">
              <a:fillToRect l="50000" t="50000" r="50000" b="50000"/>
            </a:path>
            <a:tileRect/>
          </a:gra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53" name="CommandButton1" hidden="1">
                <a:extLst>
                  <a:ext uri="{63B3BB69-23CF-44E3-9099-C40C66FF867C}">
                    <a14:compatExt spid="_x0000_s2053"/>
                  </a:ext>
                  <a:ext uri="{FF2B5EF4-FFF2-40B4-BE49-F238E27FC236}">
                    <a16:creationId xmlns:a16="http://schemas.microsoft.com/office/drawing/2014/main" id="{00000000-0008-0000-0000-000005080000}"/>
                  </a:ext>
                </a:extLst>
              </xdr:cNvPr>
              <xdr:cNvSpPr/>
            </xdr:nvSpPr>
            <xdr:spPr bwMode="auto">
              <a:xfrm>
                <a:off x="8386363" y="4217285"/>
                <a:ext cx="1623060" cy="4572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7</xdr:row>
      <xdr:rowOff>0</xdr:rowOff>
    </xdr:from>
    <xdr:to>
      <xdr:col>12</xdr:col>
      <xdr:colOff>0</xdr:colOff>
      <xdr:row>8</xdr:row>
      <xdr:rowOff>0</xdr:rowOff>
    </xdr:to>
    <xdr:sp macro="" textlink="">
      <xdr:nvSpPr>
        <xdr:cNvPr id="4" name="Obdélník 3">
          <a:extLst>
            <a:ext uri="{FF2B5EF4-FFF2-40B4-BE49-F238E27FC236}">
              <a16:creationId xmlns:a16="http://schemas.microsoft.com/office/drawing/2014/main" id="{7DAAA405-B8F3-F8DF-DABD-585B6C9D6610}"/>
            </a:ext>
          </a:extLst>
        </xdr:cNvPr>
        <xdr:cNvSpPr/>
      </xdr:nvSpPr>
      <xdr:spPr>
        <a:xfrm>
          <a:off x="8404860" y="2049780"/>
          <a:ext cx="609600" cy="243840"/>
        </a:xfrm>
        <a:prstGeom prst="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>
              <a:solidFill>
                <a:srgbClr val="000000"/>
              </a:solidFill>
            </a:rPr>
            <a:t>◀ Nejnovější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F25704F-9DBB-4510-8130-D9ED7EBEE537}" name="TBL_CUR" displayName="TBL_CUR" ref="A4:K5" totalsRowShown="0" headerRowDxfId="25" dataDxfId="23">
  <autoFilter ref="A4:K5" xr:uid="{DF25704F-9DBB-4510-8130-D9ED7EBEE53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</autoFilter>
  <tableColumns count="11">
    <tableColumn id="7" xr3:uid="{A69B6EC7-AF74-45C9-BA76-7416D544FC64}" name="TIME" dataDxfId="12"/>
    <tableColumn id="8" xr3:uid="{9A45AC0F-EEFC-4601-8473-5E22D25AED04}" name="CH1" dataDxfId="13"/>
    <tableColumn id="9" xr3:uid="{E3A685A3-A5C7-44C0-8A16-44CFA365E007}" name="CH2" dataDxfId="22"/>
    <tableColumn id="10" xr3:uid="{EDB3A964-A145-4AD9-ADF2-DC8CF53A14F9}" name="CH3" dataDxfId="21"/>
    <tableColumn id="11" xr3:uid="{D9B7A85D-65AD-46CF-9FA9-009EDC4BA498}" name="CH4" dataDxfId="20"/>
    <tableColumn id="1" xr3:uid="{9736FF09-62B6-44F0-9F5D-D0B56A6C782E}" name="CH5" dataDxfId="19"/>
    <tableColumn id="2" xr3:uid="{ADD6DCA5-71A9-4E12-8CDF-8239480A179A}" name="CH6" dataDxfId="18"/>
    <tableColumn id="3" xr3:uid="{D479D22A-9812-43B7-B8B9-54367383760D}" name="CH7" dataDxfId="17"/>
    <tableColumn id="4" xr3:uid="{2DF0F635-D1E1-4E35-A2C3-628D66754EB9}" name="CH8" dataDxfId="16"/>
    <tableColumn id="5" xr3:uid="{3370AB98-1AF1-4FC3-915B-C7B4B0AE388C}" name="CH9" dataDxfId="15"/>
    <tableColumn id="6" xr3:uid="{565C906F-7C83-42D5-8D4E-F78DF1BD88E3}" name="CH10" dataDxfId="14"/>
  </tableColumns>
  <tableStyleInfo name="Invisi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1229128-8E23-4051-A418-2493E7413031}" name="TBL_HST" displayName="TBL_HST" ref="A7:K17" totalsRowShown="0" headerRowDxfId="24" dataDxfId="11" totalsRowDxfId="37">
  <autoFilter ref="A7:K17" xr:uid="{91229128-8E23-4051-A418-2493E741303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</autoFilter>
  <tableColumns count="11">
    <tableColumn id="7" xr3:uid="{B01E0517-30DF-487A-9CCC-788391432B11}" name="TIME" dataDxfId="0" totalsRowDxfId="36"/>
    <tableColumn id="8" xr3:uid="{3DBC76AE-A84D-4733-A7ED-FEFD2C844D12}" name="CH1" dataDxfId="1" totalsRowDxfId="35"/>
    <tableColumn id="9" xr3:uid="{E6EB25D9-6F49-4240-B4EB-20C015D39EFB}" name="CH2" dataDxfId="10" totalsRowDxfId="34"/>
    <tableColumn id="10" xr3:uid="{90C29FDC-6B34-4156-B8B2-D2675F6DCC2F}" name="CH3" dataDxfId="9" totalsRowDxfId="33"/>
    <tableColumn id="11" xr3:uid="{7C7B9428-EB74-46DD-8E5F-F96A8FE47A1B}" name="CH4" dataDxfId="8" totalsRowDxfId="32"/>
    <tableColumn id="1" xr3:uid="{4CBE2F27-7444-46EA-A04E-F2DD153D6B43}" name="CH5" dataDxfId="7" totalsRowDxfId="31"/>
    <tableColumn id="2" xr3:uid="{EEE3578C-1F35-4B35-A4E2-2A6BA5266695}" name="CH6" dataDxfId="6" totalsRowDxfId="30"/>
    <tableColumn id="3" xr3:uid="{394E9103-B561-4E4D-8021-69E5EB69A1B0}" name="CH7" dataDxfId="5" totalsRowDxfId="29"/>
    <tableColumn id="4" xr3:uid="{CB8F9FA1-CC79-4C07-B96A-8B4BE7F6002B}" name="CH8" dataDxfId="4" totalsRowDxfId="28"/>
    <tableColumn id="5" xr3:uid="{37D5E597-A6C2-4572-BB69-828199F1FCFD}" name="CH9" dataDxfId="3" totalsRowDxfId="27"/>
    <tableColumn id="6" xr3:uid="{79467586-9097-429A-AA32-BE5613BAC231}" name="CH10" dataDxfId="2" totalsRowDxfId="26"/>
  </tableColumns>
  <tableStyleInfo name="Invisible" showFirstColumn="0" showLastColumn="0" showRowStripes="1" showColumnStripes="0"/>
</table>
</file>

<file path=xl/theme/theme1.xml><?xml version="1.0" encoding="utf-8"?>
<a:theme xmlns:a="http://schemas.openxmlformats.org/drawingml/2006/main" name="Motiv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A816DA-3ADA-48B3-A805-A0CB4AC96584}">
  <sheetPr codeName="List1"/>
  <dimension ref="A29:I49"/>
  <sheetViews>
    <sheetView tabSelected="1" zoomScale="101" zoomScaleNormal="100" workbookViewId="0">
      <selection activeCell="C38" sqref="C38"/>
    </sheetView>
  </sheetViews>
  <sheetFormatPr defaultRowHeight="14.4" x14ac:dyDescent="0.3"/>
  <cols>
    <col min="1" max="9" width="18.88671875" customWidth="1"/>
  </cols>
  <sheetData>
    <row r="29" spans="1:9" ht="25.8" x14ac:dyDescent="0.5">
      <c r="A29" s="48" t="s">
        <v>41</v>
      </c>
      <c r="B29" s="48"/>
      <c r="C29" s="48"/>
      <c r="D29" s="48"/>
      <c r="E29" s="48"/>
      <c r="F29" s="48"/>
      <c r="G29" s="48"/>
      <c r="H29" s="48"/>
      <c r="I29" s="48"/>
    </row>
    <row r="30" spans="1:9" ht="15" thickBot="1" x14ac:dyDescent="0.35">
      <c r="A30" s="23"/>
      <c r="B30" s="23"/>
      <c r="C30" s="23"/>
      <c r="D30" s="23"/>
      <c r="E30" s="23"/>
      <c r="F30" s="23"/>
      <c r="G30" s="23"/>
      <c r="H30" s="23"/>
      <c r="I30" s="23"/>
    </row>
    <row r="31" spans="1:9" ht="15" thickBot="1" x14ac:dyDescent="0.35">
      <c r="A31" s="47" t="s">
        <v>42</v>
      </c>
      <c r="B31" s="24">
        <v>1</v>
      </c>
      <c r="C31" s="37">
        <v>2</v>
      </c>
      <c r="D31" s="38">
        <v>3</v>
      </c>
      <c r="E31" s="39">
        <v>4</v>
      </c>
      <c r="F31" s="40">
        <v>5</v>
      </c>
      <c r="G31" s="41">
        <v>6</v>
      </c>
      <c r="H31" s="42">
        <v>7</v>
      </c>
      <c r="I31" s="43">
        <v>8</v>
      </c>
    </row>
    <row r="32" spans="1:9" x14ac:dyDescent="0.3">
      <c r="A32" s="44" t="s">
        <v>36</v>
      </c>
      <c r="B32" s="25">
        <f>AVERAGE(TBL_HST[CH1])</f>
        <v>0</v>
      </c>
      <c r="C32" s="26">
        <f>AVERAGE(TBL_HST[CH2])</f>
        <v>0</v>
      </c>
      <c r="D32" s="26">
        <f>AVERAGE(TBL_HST[CH3])</f>
        <v>70.8</v>
      </c>
      <c r="E32" s="26">
        <f>AVERAGE(TBL_HST[CH4])</f>
        <v>0</v>
      </c>
      <c r="F32" s="26">
        <f>AVERAGE(TBL_HST[CH5])</f>
        <v>35</v>
      </c>
      <c r="G32" s="26">
        <f>AVERAGE(TBL_HST[CH6])</f>
        <v>0</v>
      </c>
      <c r="H32" s="26">
        <f>AVERAGE(TBL_HST[CH7])</f>
        <v>63.8</v>
      </c>
      <c r="I32" s="27">
        <f>AVERAGE(TBL_HST[CH8])</f>
        <v>94.4</v>
      </c>
    </row>
    <row r="33" spans="1:9" x14ac:dyDescent="0.3">
      <c r="A33" s="45" t="s">
        <v>37</v>
      </c>
      <c r="B33" s="28">
        <f>MAX(TBL_HST[CH1])</f>
        <v>0</v>
      </c>
      <c r="C33" s="29">
        <f>MAX(TBL_HST[CH2])</f>
        <v>0</v>
      </c>
      <c r="D33" s="29">
        <f>MAX(TBL_HST[CH3])</f>
        <v>393</v>
      </c>
      <c r="E33" s="29">
        <f>MAX(TBL_HST[CH4])</f>
        <v>0</v>
      </c>
      <c r="F33" s="29">
        <f>MAX(TBL_HST[CH5])</f>
        <v>350</v>
      </c>
      <c r="G33" s="29">
        <f>MAX(TBL_HST[CH6])</f>
        <v>0</v>
      </c>
      <c r="H33" s="29">
        <f>MAX(TBL_HST[CH7])</f>
        <v>387</v>
      </c>
      <c r="I33" s="30">
        <f>MAX(TBL_HST[CH8])</f>
        <v>388</v>
      </c>
    </row>
    <row r="34" spans="1:9" x14ac:dyDescent="0.3">
      <c r="A34" s="45" t="s">
        <v>38</v>
      </c>
      <c r="B34" s="31">
        <f>MIN(TBL_HST[CH1])</f>
        <v>0</v>
      </c>
      <c r="C34" s="32">
        <f>MIN(TBL_HST[CH2])</f>
        <v>0</v>
      </c>
      <c r="D34" s="32">
        <f>MIN(TBL_HST[CH3])</f>
        <v>0</v>
      </c>
      <c r="E34" s="32">
        <f>MIN(TBL_HST[CH4])</f>
        <v>0</v>
      </c>
      <c r="F34" s="32">
        <f>MIN(TBL_HST[CH5])</f>
        <v>0</v>
      </c>
      <c r="G34" s="32">
        <f>MIN(TBL_HST[CH6])</f>
        <v>0</v>
      </c>
      <c r="H34" s="32">
        <f>MIN(TBL_HST[CH7])</f>
        <v>0</v>
      </c>
      <c r="I34" s="33">
        <f>MIN(TBL_HST[CH8])</f>
        <v>0</v>
      </c>
    </row>
    <row r="35" spans="1:9" x14ac:dyDescent="0.3">
      <c r="A35" s="45" t="s">
        <v>40</v>
      </c>
      <c r="B35" s="31">
        <f>MEDIAN(TBL_HST[CH1])</f>
        <v>0</v>
      </c>
      <c r="C35" s="32">
        <f>MEDIAN(TBL_HST[CH2])</f>
        <v>0</v>
      </c>
      <c r="D35" s="32">
        <f>MEDIAN(TBL_HST[CH3])</f>
        <v>0</v>
      </c>
      <c r="E35" s="32">
        <f>MEDIAN(TBL_HST[CH4])</f>
        <v>0</v>
      </c>
      <c r="F35" s="32">
        <f>MEDIAN(TBL_HST[CH5])</f>
        <v>0</v>
      </c>
      <c r="G35" s="32">
        <f>MEDIAN(TBL_HST[CH6])</f>
        <v>0</v>
      </c>
      <c r="H35" s="32">
        <f>MEDIAN(TBL_HST[CH7])</f>
        <v>0</v>
      </c>
      <c r="I35" s="33">
        <f>MEDIAN(TBL_HST[CH8])</f>
        <v>0</v>
      </c>
    </row>
    <row r="36" spans="1:9" ht="15" thickBot="1" x14ac:dyDescent="0.35">
      <c r="A36" s="46" t="s">
        <v>39</v>
      </c>
      <c r="B36" s="34">
        <f>_xlfn.STDEV.P(TBL_HST[CH1])</f>
        <v>0</v>
      </c>
      <c r="C36" s="35">
        <f>_xlfn.STDEV.P(TBL_HST[CH2])</f>
        <v>0</v>
      </c>
      <c r="D36" s="35">
        <f>_xlfn.STDEV.P(TBL_HST[CH3])</f>
        <v>142.6701089927389</v>
      </c>
      <c r="E36" s="35">
        <f>_xlfn.STDEV.P(TBL_HST[CH4])</f>
        <v>0</v>
      </c>
      <c r="F36" s="35">
        <f>_xlfn.STDEV.P(TBL_HST[CH5])</f>
        <v>105</v>
      </c>
      <c r="G36" s="35">
        <f>_xlfn.STDEV.P(TBL_HST[CH6])</f>
        <v>0</v>
      </c>
      <c r="H36" s="35">
        <f>_xlfn.STDEV.P(TBL_HST[CH7])</f>
        <v>131.17377786737714</v>
      </c>
      <c r="I36" s="36">
        <f>_xlfn.STDEV.P(TBL_HST[CH8])</f>
        <v>148.16423320086398</v>
      </c>
    </row>
    <row r="37" spans="1:9" x14ac:dyDescent="0.3">
      <c r="A37" s="23"/>
      <c r="B37" s="23"/>
      <c r="C37" s="23"/>
      <c r="D37" s="23"/>
      <c r="E37" s="23"/>
      <c r="F37" s="23"/>
      <c r="G37" s="23"/>
      <c r="H37" s="23"/>
      <c r="I37" s="23"/>
    </row>
    <row r="38" spans="1:9" x14ac:dyDescent="0.3">
      <c r="A38" s="23"/>
      <c r="B38" s="23"/>
      <c r="C38" s="23"/>
      <c r="D38" s="23"/>
      <c r="E38" s="23"/>
      <c r="F38" s="23"/>
      <c r="G38" s="23"/>
      <c r="H38" s="23"/>
      <c r="I38" s="23"/>
    </row>
    <row r="39" spans="1:9" x14ac:dyDescent="0.3">
      <c r="D39" s="23"/>
      <c r="E39" s="23"/>
      <c r="F39" s="23"/>
      <c r="G39" s="23"/>
      <c r="H39" s="23"/>
      <c r="I39" s="23"/>
    </row>
    <row r="40" spans="1:9" x14ac:dyDescent="0.3">
      <c r="D40" s="23"/>
      <c r="E40" s="23"/>
      <c r="F40" s="23"/>
      <c r="G40" s="23"/>
      <c r="H40" s="23"/>
      <c r="I40" s="23"/>
    </row>
    <row r="41" spans="1:9" x14ac:dyDescent="0.3">
      <c r="D41" s="23"/>
      <c r="E41" s="23"/>
      <c r="F41" s="23"/>
      <c r="G41" s="23"/>
      <c r="H41" s="23"/>
      <c r="I41" s="23"/>
    </row>
    <row r="42" spans="1:9" x14ac:dyDescent="0.3">
      <c r="D42" s="23"/>
      <c r="E42" s="23"/>
      <c r="F42" s="23"/>
      <c r="G42" s="23"/>
      <c r="H42" s="23"/>
      <c r="I42" s="23"/>
    </row>
    <row r="43" spans="1:9" x14ac:dyDescent="0.3">
      <c r="D43" s="23"/>
      <c r="E43" s="23"/>
      <c r="F43" s="23"/>
      <c r="G43" s="23"/>
      <c r="H43" s="23"/>
      <c r="I43" s="23"/>
    </row>
    <row r="44" spans="1:9" x14ac:dyDescent="0.3">
      <c r="D44" s="23"/>
      <c r="E44" s="23"/>
      <c r="F44" s="23"/>
      <c r="G44" s="23"/>
      <c r="H44" s="23"/>
      <c r="I44" s="23"/>
    </row>
    <row r="45" spans="1:9" x14ac:dyDescent="0.3">
      <c r="D45" s="23"/>
      <c r="E45" s="23"/>
      <c r="F45" s="23"/>
      <c r="G45" s="23"/>
      <c r="H45" s="23"/>
      <c r="I45" s="23"/>
    </row>
    <row r="46" spans="1:9" x14ac:dyDescent="0.3">
      <c r="D46" s="23"/>
      <c r="E46" s="23"/>
      <c r="F46" s="23"/>
      <c r="G46" s="23"/>
      <c r="H46" s="23"/>
      <c r="I46" s="23"/>
    </row>
    <row r="47" spans="1:9" x14ac:dyDescent="0.3">
      <c r="D47" s="23"/>
      <c r="E47" s="23"/>
      <c r="F47" s="23"/>
      <c r="G47" s="23"/>
      <c r="H47" s="23"/>
      <c r="I47" s="23"/>
    </row>
    <row r="48" spans="1:9" x14ac:dyDescent="0.3">
      <c r="D48" s="23"/>
      <c r="E48" s="23"/>
      <c r="F48" s="23"/>
      <c r="G48" s="23"/>
      <c r="H48" s="23"/>
      <c r="I48" s="23"/>
    </row>
    <row r="49" spans="4:9" x14ac:dyDescent="0.3">
      <c r="D49" s="23"/>
      <c r="E49" s="23"/>
      <c r="F49" s="23"/>
      <c r="G49" s="23"/>
      <c r="H49" s="23"/>
      <c r="I49" s="23"/>
    </row>
  </sheetData>
  <mergeCells count="1">
    <mergeCell ref="A29:I29"/>
  </mergeCells>
  <phoneticPr fontId="16" type="noConversion"/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53" r:id="rId3" name="CommandButton1">
          <controlPr defaultSize="0" autoLine="0" r:id="rId4">
            <anchor moveWithCells="1">
              <from>
                <xdr:col>7</xdr:col>
                <xdr:colOff>609600</xdr:colOff>
                <xdr:row>23</xdr:row>
                <xdr:rowOff>99060</xdr:rowOff>
              </from>
              <to>
                <xdr:col>8</xdr:col>
                <xdr:colOff>1005840</xdr:colOff>
                <xdr:row>26</xdr:row>
                <xdr:rowOff>7620</xdr:rowOff>
              </to>
            </anchor>
          </controlPr>
        </control>
      </mc:Choice>
      <mc:Fallback>
        <control shapeId="2053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B95B8D-C076-47F5-BE55-CE0BC6427A78}">
  <sheetPr codeName="List2"/>
  <dimension ref="A1:K22"/>
  <sheetViews>
    <sheetView topLeftCell="A4" workbookViewId="0">
      <selection activeCell="B12" sqref="B12"/>
    </sheetView>
  </sheetViews>
  <sheetFormatPr defaultRowHeight="14.4" x14ac:dyDescent="0.3"/>
  <cols>
    <col min="1" max="1" width="14.77734375" style="1" customWidth="1"/>
    <col min="2" max="11" width="10.77734375" style="1" customWidth="1"/>
    <col min="12" max="12" width="20.77734375" style="1" customWidth="1"/>
    <col min="13" max="16384" width="8.88671875" style="1"/>
  </cols>
  <sheetData>
    <row r="1" spans="1:11" ht="29.4" x14ac:dyDescent="0.65">
      <c r="A1" s="49" t="s">
        <v>46</v>
      </c>
      <c r="B1" s="49"/>
      <c r="C1" s="49"/>
      <c r="D1" s="49"/>
      <c r="E1" s="49"/>
      <c r="F1" s="49"/>
      <c r="G1" s="49"/>
      <c r="H1" s="49"/>
      <c r="I1" s="49"/>
      <c r="J1" s="49"/>
    </row>
    <row r="2" spans="1:11" ht="16.8" x14ac:dyDescent="0.3">
      <c r="A2" s="50" t="s">
        <v>31</v>
      </c>
      <c r="B2" s="50"/>
      <c r="C2" s="50"/>
      <c r="D2" s="50"/>
      <c r="E2" s="50"/>
      <c r="F2" s="50"/>
      <c r="G2" s="50"/>
      <c r="H2" s="50"/>
      <c r="I2" s="50"/>
      <c r="J2" s="50"/>
    </row>
    <row r="3" spans="1:11" ht="33.450000000000003" customHeight="1" x14ac:dyDescent="0.45">
      <c r="A3" s="70" t="s">
        <v>32</v>
      </c>
      <c r="B3" s="70"/>
      <c r="C3" s="70"/>
      <c r="D3" s="70"/>
      <c r="E3" s="70"/>
      <c r="F3" s="70"/>
      <c r="G3" s="70"/>
      <c r="H3" s="70"/>
      <c r="I3" s="70"/>
      <c r="J3" s="70"/>
      <c r="K3" s="70"/>
    </row>
    <row r="4" spans="1:11" ht="15" x14ac:dyDescent="0.3">
      <c r="A4" s="16" t="s">
        <v>33</v>
      </c>
      <c r="B4" s="16" t="s">
        <v>11</v>
      </c>
      <c r="C4" s="16" t="s">
        <v>13</v>
      </c>
      <c r="D4" s="16" t="s">
        <v>14</v>
      </c>
      <c r="E4" s="16" t="s">
        <v>15</v>
      </c>
      <c r="F4" s="16" t="s">
        <v>16</v>
      </c>
      <c r="G4" s="16" t="s">
        <v>17</v>
      </c>
      <c r="H4" s="16" t="s">
        <v>18</v>
      </c>
      <c r="I4" s="16" t="s">
        <v>19</v>
      </c>
      <c r="J4" s="16" t="s">
        <v>20</v>
      </c>
      <c r="K4" s="16" t="s">
        <v>21</v>
      </c>
    </row>
    <row r="5" spans="1:11" ht="19.5" customHeight="1" x14ac:dyDescent="0.3">
      <c r="A5" s="18">
        <v>45448.802001053242</v>
      </c>
      <c r="B5" s="17">
        <v>0</v>
      </c>
      <c r="C5" s="17">
        <v>0</v>
      </c>
      <c r="D5" s="17">
        <v>0</v>
      </c>
      <c r="E5" s="17">
        <v>0</v>
      </c>
      <c r="F5" s="17">
        <v>0</v>
      </c>
      <c r="G5" s="17">
        <v>0</v>
      </c>
      <c r="H5" s="17">
        <v>387</v>
      </c>
      <c r="I5" s="17">
        <v>0</v>
      </c>
      <c r="J5" s="17"/>
      <c r="K5" s="17"/>
    </row>
    <row r="6" spans="1:11" ht="33.450000000000003" customHeight="1" x14ac:dyDescent="0.45">
      <c r="A6" s="71" t="s">
        <v>34</v>
      </c>
      <c r="B6" s="71"/>
      <c r="C6" s="71"/>
      <c r="D6" s="71"/>
      <c r="E6" s="71"/>
      <c r="F6" s="71"/>
      <c r="G6" s="71"/>
      <c r="H6" s="71"/>
      <c r="I6" s="71"/>
      <c r="J6" s="71"/>
      <c r="K6" s="71"/>
    </row>
    <row r="7" spans="1:11" ht="15" x14ac:dyDescent="0.3">
      <c r="A7" s="16" t="s">
        <v>33</v>
      </c>
      <c r="B7" s="16" t="s">
        <v>11</v>
      </c>
      <c r="C7" s="16" t="s">
        <v>13</v>
      </c>
      <c r="D7" s="16" t="s">
        <v>14</v>
      </c>
      <c r="E7" s="16" t="s">
        <v>15</v>
      </c>
      <c r="F7" s="16" t="s">
        <v>16</v>
      </c>
      <c r="G7" s="16" t="s">
        <v>17</v>
      </c>
      <c r="H7" s="16" t="s">
        <v>18</v>
      </c>
      <c r="I7" s="16" t="s">
        <v>19</v>
      </c>
      <c r="J7" s="16" t="s">
        <v>20</v>
      </c>
      <c r="K7" s="16" t="s">
        <v>21</v>
      </c>
    </row>
    <row r="8" spans="1:11" ht="19.5" customHeight="1" x14ac:dyDescent="0.3">
      <c r="A8" s="21">
        <v>45448.802001053242</v>
      </c>
      <c r="B8" s="22">
        <v>0</v>
      </c>
      <c r="C8" s="22">
        <v>0</v>
      </c>
      <c r="D8" s="22">
        <v>0</v>
      </c>
      <c r="E8" s="22">
        <v>0</v>
      </c>
      <c r="F8" s="22">
        <v>0</v>
      </c>
      <c r="G8" s="22">
        <v>0</v>
      </c>
      <c r="H8" s="22">
        <v>387</v>
      </c>
      <c r="I8" s="22">
        <v>0</v>
      </c>
      <c r="J8" s="22"/>
      <c r="K8" s="22"/>
    </row>
    <row r="9" spans="1:11" ht="19.5" customHeight="1" x14ac:dyDescent="0.3">
      <c r="A9" s="20">
        <v>45448.801954861112</v>
      </c>
      <c r="B9" s="19">
        <v>0</v>
      </c>
      <c r="C9" s="19">
        <v>0</v>
      </c>
      <c r="D9" s="19">
        <v>0</v>
      </c>
      <c r="E9" s="19">
        <v>0</v>
      </c>
      <c r="F9" s="19">
        <v>0</v>
      </c>
      <c r="G9" s="19">
        <v>0</v>
      </c>
      <c r="H9" s="19">
        <v>0</v>
      </c>
      <c r="I9" s="19">
        <v>320</v>
      </c>
      <c r="J9" s="19"/>
      <c r="K9" s="19"/>
    </row>
    <row r="10" spans="1:11" ht="19.5" customHeight="1" x14ac:dyDescent="0.3">
      <c r="A10" s="20">
        <v>45448.80190859954</v>
      </c>
      <c r="B10" s="19">
        <v>0</v>
      </c>
      <c r="C10" s="19">
        <v>0</v>
      </c>
      <c r="D10" s="19">
        <v>393</v>
      </c>
      <c r="E10" s="19">
        <v>0</v>
      </c>
      <c r="F10" s="19">
        <v>0</v>
      </c>
      <c r="G10" s="19">
        <v>0</v>
      </c>
      <c r="H10" s="19">
        <v>0</v>
      </c>
      <c r="I10" s="19">
        <v>0</v>
      </c>
      <c r="J10" s="19"/>
      <c r="K10" s="19"/>
    </row>
    <row r="11" spans="1:11" ht="19.5" customHeight="1" x14ac:dyDescent="0.3">
      <c r="A11" s="20">
        <v>45448.801862280096</v>
      </c>
      <c r="B11" s="19">
        <v>0</v>
      </c>
      <c r="C11" s="19">
        <v>0</v>
      </c>
      <c r="D11" s="19">
        <v>0</v>
      </c>
      <c r="E11" s="19">
        <v>0</v>
      </c>
      <c r="F11" s="19">
        <v>0</v>
      </c>
      <c r="G11" s="19">
        <v>0</v>
      </c>
      <c r="H11" s="19">
        <v>0</v>
      </c>
      <c r="I11" s="19">
        <v>0</v>
      </c>
      <c r="J11" s="19"/>
      <c r="K11" s="19"/>
    </row>
    <row r="12" spans="1:11" ht="19.5" customHeight="1" x14ac:dyDescent="0.3">
      <c r="A12" s="20">
        <v>45448.801815937499</v>
      </c>
      <c r="B12" s="19">
        <v>0</v>
      </c>
      <c r="C12" s="19">
        <v>0</v>
      </c>
      <c r="D12" s="19">
        <v>0</v>
      </c>
      <c r="E12" s="19">
        <v>0</v>
      </c>
      <c r="F12" s="19">
        <v>0</v>
      </c>
      <c r="G12" s="19">
        <v>0</v>
      </c>
      <c r="H12" s="19">
        <v>0</v>
      </c>
      <c r="I12" s="19">
        <v>0</v>
      </c>
      <c r="J12" s="19"/>
      <c r="K12" s="19"/>
    </row>
    <row r="13" spans="1:11" ht="19.5" customHeight="1" x14ac:dyDescent="0.3">
      <c r="A13" s="20">
        <v>45448.801769652775</v>
      </c>
      <c r="B13" s="19">
        <v>0</v>
      </c>
      <c r="C13" s="19">
        <v>0</v>
      </c>
      <c r="D13" s="19">
        <v>0</v>
      </c>
      <c r="E13" s="19">
        <v>0</v>
      </c>
      <c r="F13" s="19">
        <v>350</v>
      </c>
      <c r="G13" s="19">
        <v>0</v>
      </c>
      <c r="H13" s="19">
        <v>0</v>
      </c>
      <c r="I13" s="19">
        <v>0</v>
      </c>
      <c r="J13" s="19"/>
      <c r="K13" s="19"/>
    </row>
    <row r="14" spans="1:11" ht="19.5" customHeight="1" x14ac:dyDescent="0.3">
      <c r="A14" s="20">
        <v>45448.801723414355</v>
      </c>
      <c r="B14" s="19">
        <v>0</v>
      </c>
      <c r="C14" s="19">
        <v>0</v>
      </c>
      <c r="D14" s="19">
        <v>315</v>
      </c>
      <c r="E14" s="19">
        <v>0</v>
      </c>
      <c r="F14" s="19">
        <v>0</v>
      </c>
      <c r="G14" s="19">
        <v>0</v>
      </c>
      <c r="H14" s="19">
        <v>0</v>
      </c>
      <c r="I14" s="19">
        <v>0</v>
      </c>
      <c r="J14" s="19"/>
      <c r="K14" s="19"/>
    </row>
    <row r="15" spans="1:11" ht="19.5" customHeight="1" x14ac:dyDescent="0.3">
      <c r="A15" s="20">
        <v>45448.801677013886</v>
      </c>
      <c r="B15" s="19">
        <v>0</v>
      </c>
      <c r="C15" s="19">
        <v>0</v>
      </c>
      <c r="D15" s="19">
        <v>0</v>
      </c>
      <c r="E15" s="19">
        <v>0</v>
      </c>
      <c r="F15" s="19">
        <v>0</v>
      </c>
      <c r="G15" s="19">
        <v>0</v>
      </c>
      <c r="H15" s="19">
        <v>0</v>
      </c>
      <c r="I15" s="19">
        <v>388</v>
      </c>
      <c r="J15" s="19"/>
      <c r="K15" s="19"/>
    </row>
    <row r="16" spans="1:11" ht="19.5" customHeight="1" x14ac:dyDescent="0.3">
      <c r="A16" s="20">
        <v>45448.801630787035</v>
      </c>
      <c r="B16" s="19">
        <v>0</v>
      </c>
      <c r="C16" s="19">
        <v>0</v>
      </c>
      <c r="D16" s="19">
        <v>0</v>
      </c>
      <c r="E16" s="19">
        <v>0</v>
      </c>
      <c r="F16" s="19">
        <v>0</v>
      </c>
      <c r="G16" s="19">
        <v>0</v>
      </c>
      <c r="H16" s="19">
        <v>251</v>
      </c>
      <c r="I16" s="19">
        <v>0</v>
      </c>
      <c r="J16" s="19"/>
      <c r="K16" s="19"/>
    </row>
    <row r="17" spans="1:11" ht="19.5" customHeight="1" x14ac:dyDescent="0.3">
      <c r="A17" s="20">
        <v>45448.801584375004</v>
      </c>
      <c r="B17" s="19">
        <v>0</v>
      </c>
      <c r="C17" s="19">
        <v>0</v>
      </c>
      <c r="D17" s="19">
        <v>0</v>
      </c>
      <c r="E17" s="19">
        <v>0</v>
      </c>
      <c r="F17" s="19">
        <v>0</v>
      </c>
      <c r="G17" s="19">
        <v>0</v>
      </c>
      <c r="H17" s="19">
        <v>0</v>
      </c>
      <c r="I17" s="19">
        <v>236</v>
      </c>
      <c r="J17" s="19"/>
      <c r="K17" s="19"/>
    </row>
    <row r="18" spans="1:11" ht="19.5" customHeight="1" x14ac:dyDescent="0.3"/>
    <row r="19" spans="1:11" ht="19.5" customHeight="1" x14ac:dyDescent="0.3"/>
    <row r="20" spans="1:11" ht="19.5" customHeight="1" x14ac:dyDescent="0.3"/>
    <row r="21" spans="1:11" ht="19.5" customHeight="1" x14ac:dyDescent="0.3"/>
    <row r="22" spans="1:11" ht="19.5" customHeight="1" x14ac:dyDescent="0.3"/>
  </sheetData>
  <mergeCells count="4">
    <mergeCell ref="A1:J1"/>
    <mergeCell ref="A2:J2"/>
    <mergeCell ref="A3:K3"/>
    <mergeCell ref="A6:K6"/>
  </mergeCells>
  <dataValidations count="22">
    <dataValidation allowBlank="1" showInputMessage="1" showErrorMessage="1" prompt="Čas_x000d__x000a__x000d__x000a_TBL_CUR[TIME]" sqref="A5" xr:uid="{9B89FB80-2C1C-48A3-8EDD-FA91237D74E6}"/>
    <dataValidation allowBlank="1" showInputMessage="1" showErrorMessage="1" prompt="TBL_CUR[CH1]" sqref="B5" xr:uid="{03990E04-A6CA-40CD-A4B4-1DA0EF16B608}"/>
    <dataValidation allowBlank="1" showInputMessage="1" showErrorMessage="1" prompt="TBL_CUR[CH2]" sqref="C5" xr:uid="{F7592738-6B25-4E78-B476-67C781B9B98E}"/>
    <dataValidation allowBlank="1" showInputMessage="1" showErrorMessage="1" prompt="TBL_CUR[CH3]" sqref="D5" xr:uid="{DFC3C7D1-0A7B-4349-8486-D5AAD47D2CBA}"/>
    <dataValidation allowBlank="1" showInputMessage="1" showErrorMessage="1" prompt="TBL_CUR[CH4]" sqref="E5" xr:uid="{0E7D73BF-520D-4DC1-87E0-A0C6D5346B28}"/>
    <dataValidation allowBlank="1" showInputMessage="1" showErrorMessage="1" prompt="Čas_x000d__x000a__x000d__x000a_TBL_HST[TIME]" sqref="A8:A17" xr:uid="{03F5CCF7-7A43-4BF3-AE25-0878EFD2E74E}"/>
    <dataValidation allowBlank="1" showInputMessage="1" showErrorMessage="1" prompt="TBL_HST[CH1]" sqref="B8:B17" xr:uid="{D62CEA83-ABDD-49C4-B5C9-13D512047A52}"/>
    <dataValidation allowBlank="1" showInputMessage="1" showErrorMessage="1" prompt="TBL_HST[CH2]" sqref="C8:C17" xr:uid="{7BB14851-2DE0-419C-9349-CAFC44B4707C}"/>
    <dataValidation allowBlank="1" showInputMessage="1" showErrorMessage="1" prompt="TBL_HST[CH3]" sqref="D8:D17" xr:uid="{FE59C750-5DA1-4A7A-BB42-BCF20B680847}"/>
    <dataValidation allowBlank="1" showInputMessage="1" showErrorMessage="1" prompt="TBL_HST[CH4]" sqref="E8:E17" xr:uid="{2CD01727-042E-454F-A537-DEE229B9D3C2}"/>
    <dataValidation allowBlank="1" showInputMessage="1" showErrorMessage="1" prompt="TBL_CUR[CH5]" sqref="F5" xr:uid="{3FC2423E-61F8-4AC4-B6BE-ECE6DC984138}"/>
    <dataValidation allowBlank="1" showInputMessage="1" showErrorMessage="1" prompt="TBL_CUR[CH6]" sqref="G5" xr:uid="{4C046940-D4DB-44D1-97EC-6E27A33EF395}"/>
    <dataValidation allowBlank="1" showInputMessage="1" showErrorMessage="1" prompt="TBL_HST[CH5]" sqref="F8:F17" xr:uid="{81817E48-0983-4D94-B96D-67868D4ACFFA}"/>
    <dataValidation allowBlank="1" showInputMessage="1" showErrorMessage="1" prompt="TBL_HST[CH6]" sqref="G8:G17" xr:uid="{C8D3872D-FA49-45B2-9E9B-4E26782E6E91}"/>
    <dataValidation allowBlank="1" showInputMessage="1" showErrorMessage="1" prompt="TBL_CUR[CH7]" sqref="H5" xr:uid="{6D9880F3-02EC-445A-A50C-62761C8246DA}"/>
    <dataValidation allowBlank="1" showInputMessage="1" showErrorMessage="1" prompt="TBL_CUR[CH8]" sqref="I5" xr:uid="{0BF5FAE0-1710-4A1E-9D60-58D77433ABB0}"/>
    <dataValidation allowBlank="1" showInputMessage="1" showErrorMessage="1" prompt="TBL_HST[CH7]" sqref="H8:H17" xr:uid="{B510DA22-74AF-485C-8509-4E7CA22305F8}"/>
    <dataValidation allowBlank="1" showInputMessage="1" showErrorMessage="1" prompt="TBL_HST[CH8]" sqref="I8:I17" xr:uid="{CCC315CD-B0A1-486F-9A3F-27610E74B596}"/>
    <dataValidation allowBlank="1" showInputMessage="1" showErrorMessage="1" prompt="TBL_CUR[CH9]" sqref="J5" xr:uid="{2C4291F0-BE30-4711-B308-7303DBB6E5ED}"/>
    <dataValidation allowBlank="1" showInputMessage="1" showErrorMessage="1" prompt="TBL_CUR[CH10]" sqref="K5" xr:uid="{DD68384B-8A51-4E56-B9E6-E43F2DCAE948}"/>
    <dataValidation allowBlank="1" showInputMessage="1" showErrorMessage="1" prompt="TBL_HST[CH9]" sqref="J8:J17" xr:uid="{C8F3BFA8-3086-4A8D-903E-248BD372CF0C}"/>
    <dataValidation allowBlank="1" showInputMessage="1" showErrorMessage="1" prompt="TBL_HST[CH10]" sqref="K8:K17" xr:uid="{1E3D2E6C-7FA8-4026-A5FD-34403E56BE93}"/>
  </dataValidations>
  <pageMargins left="0.7" right="0.7" top="0.78740157499999996" bottom="0.78740157499999996" header="0.3" footer="0.3"/>
  <drawing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571567-C174-45F6-8E81-0EE28EB4EC72}">
  <sheetPr codeName="List3"/>
  <dimension ref="A1:J8"/>
  <sheetViews>
    <sheetView workbookViewId="0">
      <selection activeCell="A5" sqref="A5"/>
    </sheetView>
  </sheetViews>
  <sheetFormatPr defaultRowHeight="14.4" x14ac:dyDescent="0.3"/>
  <cols>
    <col min="1" max="10" width="11.5546875" customWidth="1"/>
  </cols>
  <sheetData>
    <row r="1" spans="1:10" ht="29.4" x14ac:dyDescent="0.65">
      <c r="A1" s="51" t="s">
        <v>29</v>
      </c>
      <c r="B1" s="51"/>
      <c r="C1" s="51"/>
      <c r="D1" s="51"/>
      <c r="E1" s="51"/>
      <c r="F1" s="51"/>
      <c r="G1" s="51"/>
      <c r="H1" s="51"/>
    </row>
    <row r="2" spans="1:10" ht="16.8" x14ac:dyDescent="0.3">
      <c r="A2" s="52" t="s">
        <v>30</v>
      </c>
      <c r="B2" s="52"/>
      <c r="C2" s="52"/>
      <c r="D2" s="52"/>
      <c r="E2" s="52"/>
      <c r="F2" s="52"/>
      <c r="G2" s="52"/>
      <c r="H2" s="52"/>
    </row>
    <row r="3" spans="1:10" ht="17.55" customHeight="1" x14ac:dyDescent="0.3"/>
    <row r="4" spans="1:10" ht="19.5" customHeight="1" x14ac:dyDescent="0.3">
      <c r="A4" s="68" t="s">
        <v>11</v>
      </c>
      <c r="B4" s="69" t="s">
        <v>13</v>
      </c>
      <c r="C4" s="69" t="s">
        <v>14</v>
      </c>
      <c r="D4" s="69" t="s">
        <v>15</v>
      </c>
      <c r="E4" s="69" t="s">
        <v>16</v>
      </c>
      <c r="F4" s="69" t="s">
        <v>17</v>
      </c>
      <c r="G4" s="69" t="s">
        <v>18</v>
      </c>
      <c r="H4" s="69" t="s">
        <v>19</v>
      </c>
      <c r="I4" s="69" t="s">
        <v>20</v>
      </c>
      <c r="J4" s="69" t="s">
        <v>21</v>
      </c>
    </row>
    <row r="5" spans="1:10" ht="27" customHeight="1" x14ac:dyDescent="0.3">
      <c r="A5" t="s">
        <v>47</v>
      </c>
      <c r="B5" s="15">
        <v>0</v>
      </c>
      <c r="C5" s="15">
        <v>1000</v>
      </c>
      <c r="D5" s="15">
        <v>0</v>
      </c>
      <c r="E5" s="15"/>
      <c r="F5" s="15"/>
      <c r="G5" s="15"/>
      <c r="H5" s="15"/>
      <c r="I5" s="15"/>
      <c r="J5" s="15"/>
    </row>
    <row r="8" spans="1:10" ht="13.2" customHeight="1" x14ac:dyDescent="0.3">
      <c r="A8" t="s">
        <v>43</v>
      </c>
      <c r="B8" t="s">
        <v>49</v>
      </c>
      <c r="C8" t="s">
        <v>48</v>
      </c>
      <c r="D8" t="s">
        <v>47</v>
      </c>
    </row>
  </sheetData>
  <mergeCells count="2">
    <mergeCell ref="A1:H1"/>
    <mergeCell ref="A2:H2"/>
  </mergeCells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21D7E7-9EA1-417E-9D4F-98E2754B86EF}">
  <sheetPr codeName="List4"/>
  <dimension ref="A1:E13"/>
  <sheetViews>
    <sheetView workbookViewId="0">
      <selection activeCell="I10" sqref="I10"/>
    </sheetView>
  </sheetViews>
  <sheetFormatPr defaultRowHeight="14.4" x14ac:dyDescent="0.3"/>
  <cols>
    <col min="1" max="1" width="30.77734375" style="12" customWidth="1"/>
    <col min="2" max="2" width="0.21875" style="12" customWidth="1"/>
    <col min="3" max="3" width="30.77734375" style="12" customWidth="1"/>
    <col min="4" max="16384" width="8.88671875" style="12"/>
  </cols>
  <sheetData>
    <row r="1" spans="1:5" ht="29.4" x14ac:dyDescent="0.65">
      <c r="A1" s="53" t="s">
        <v>22</v>
      </c>
      <c r="B1" s="53"/>
      <c r="C1" s="53"/>
      <c r="D1" s="53"/>
      <c r="E1" s="53"/>
    </row>
    <row r="2" spans="1:5" ht="49.95" customHeight="1" x14ac:dyDescent="0.3">
      <c r="A2" s="54" t="s">
        <v>23</v>
      </c>
      <c r="B2" s="54"/>
      <c r="C2" s="54"/>
      <c r="D2" s="54"/>
      <c r="E2" s="54"/>
    </row>
    <row r="3" spans="1:5" ht="4.5" customHeight="1" x14ac:dyDescent="0.3"/>
    <row r="4" spans="1:5" ht="24" customHeight="1" x14ac:dyDescent="0.3">
      <c r="A4" s="67" t="s">
        <v>2</v>
      </c>
      <c r="B4" s="13">
        <v>150</v>
      </c>
      <c r="C4" s="14">
        <v>150</v>
      </c>
    </row>
    <row r="5" spans="1:5" ht="4.5" customHeight="1" x14ac:dyDescent="0.3"/>
    <row r="6" spans="1:5" ht="24" customHeight="1" x14ac:dyDescent="0.3">
      <c r="A6" s="67" t="s">
        <v>24</v>
      </c>
      <c r="B6" s="13">
        <v>15</v>
      </c>
      <c r="C6" s="14">
        <v>10</v>
      </c>
    </row>
    <row r="7" spans="1:5" ht="4.5" customHeight="1" x14ac:dyDescent="0.3"/>
    <row r="8" spans="1:5" ht="24" customHeight="1" x14ac:dyDescent="0.3">
      <c r="A8" s="67" t="s">
        <v>25</v>
      </c>
      <c r="B8" s="13">
        <v>10</v>
      </c>
      <c r="C8" s="14">
        <v>10</v>
      </c>
    </row>
    <row r="9" spans="1:5" ht="4.5" customHeight="1" x14ac:dyDescent="0.3"/>
    <row r="10" spans="1:5" ht="24" customHeight="1" x14ac:dyDescent="0.3">
      <c r="A10" s="67" t="s">
        <v>26</v>
      </c>
      <c r="B10" s="13" t="s">
        <v>27</v>
      </c>
      <c r="C10" s="14" t="s">
        <v>35</v>
      </c>
    </row>
    <row r="13" spans="1:5" ht="49.95" customHeight="1" x14ac:dyDescent="0.3">
      <c r="A13" s="55" t="s">
        <v>28</v>
      </c>
      <c r="B13" s="55"/>
      <c r="C13" s="55"/>
      <c r="D13" s="55"/>
      <c r="E13" s="55"/>
    </row>
  </sheetData>
  <mergeCells count="3">
    <mergeCell ref="A1:E1"/>
    <mergeCell ref="A2:E2"/>
    <mergeCell ref="A13:E13"/>
  </mergeCells>
  <dataValidations count="4">
    <dataValidation type="whole" allowBlank="1" showInputMessage="1" showErrorMessage="1" error="Hodnota musí být v rozsahu od 10 do 1000." prompt="Minimální doba trvání mezi čteními dat (v milisekundách) 10 1000" sqref="C4" xr:uid="{4EAD1CB9-99FD-469B-8E07-B78E65A9257F}">
      <formula1>10</formula1>
      <formula2>1000</formula2>
    </dataValidation>
    <dataValidation type="whole" allowBlank="1" showInputMessage="1" showErrorMessage="1" error="Hodnota musí být v rozsahu od 1 do 1000000." prompt="Počet historických řádků dat, které mají být zachovány 1 1000000" sqref="C6" xr:uid="{BD79ED58-79ED-40C5-8269-118DF16572BE}">
      <formula1>1</formula1>
      <formula2>1000000</formula2>
    </dataValidation>
    <dataValidation type="whole" allowBlank="1" showInputMessage="1" showErrorMessage="1" error="Hodnota musí být v rozsahu od 1 do 1000." prompt="Počet sloupců dat, které se mají načíst 1 1000" sqref="C8" xr:uid="{F2B42104-F74B-473A-B446-6E2D17B450BA}">
      <formula1>1</formula1>
      <formula2>1000</formula2>
    </dataValidation>
    <dataValidation type="list" errorStyle="information" allowBlank="1" showInputMessage="1" sqref="C10" xr:uid="{F9D23262-F0C6-4198-9F2F-A054C900379B}">
      <formula1>"Od nejnovějšího,Od nejstaršího"</formula1>
    </dataValidation>
  </dataValidations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7B5086-7D87-4DD4-BFE9-A012B1CA47D4}">
  <sheetPr codeName="List5"/>
  <dimension ref="A1:L16"/>
  <sheetViews>
    <sheetView topLeftCell="A2" workbookViewId="0">
      <selection activeCell="I14" sqref="I14"/>
    </sheetView>
  </sheetViews>
  <sheetFormatPr defaultRowHeight="14.4" x14ac:dyDescent="0.3"/>
  <cols>
    <col min="1" max="2" width="3.77734375" style="2" customWidth="1"/>
    <col min="3" max="3" width="14.77734375" style="2" customWidth="1"/>
    <col min="4" max="4" width="18.77734375" style="2" customWidth="1"/>
    <col min="5" max="5" width="60.77734375" style="2" customWidth="1"/>
    <col min="6" max="6" width="16.77734375" style="2" customWidth="1"/>
    <col min="7" max="7" width="12.77734375" style="2" customWidth="1"/>
    <col min="8" max="8" width="8.88671875" style="2"/>
    <col min="9" max="9" width="16.77734375" style="2" customWidth="1"/>
    <col min="10" max="10" width="60.77734375" style="2" customWidth="1"/>
    <col min="11" max="16384" width="8.88671875" style="2"/>
  </cols>
  <sheetData>
    <row r="1" spans="1:12" ht="29.4" x14ac:dyDescent="0.65">
      <c r="A1" s="56" t="s">
        <v>4</v>
      </c>
      <c r="B1" s="56"/>
      <c r="C1" s="56"/>
      <c r="D1" s="56"/>
      <c r="E1" s="56"/>
      <c r="F1" s="56"/>
      <c r="G1" s="56"/>
      <c r="L1" s="61" t="s">
        <v>45</v>
      </c>
    </row>
    <row r="2" spans="1:12" ht="48" customHeight="1" x14ac:dyDescent="0.3">
      <c r="A2" s="57" t="s">
        <v>5</v>
      </c>
      <c r="B2" s="57"/>
      <c r="C2" s="57"/>
      <c r="D2" s="57"/>
      <c r="E2" s="57"/>
      <c r="F2" s="57"/>
      <c r="G2" s="57"/>
    </row>
    <row r="3" spans="1:12" ht="25.95" customHeight="1" x14ac:dyDescent="0.55000000000000004">
      <c r="B3" s="59" t="s">
        <v>0</v>
      </c>
      <c r="C3" s="59"/>
      <c r="D3" s="59"/>
      <c r="E3" s="59"/>
      <c r="F3" s="59"/>
      <c r="G3" s="59"/>
      <c r="H3" s="59"/>
    </row>
    <row r="4" spans="1:12" ht="25.95" customHeight="1" x14ac:dyDescent="0.4">
      <c r="B4" s="58"/>
      <c r="C4" s="58"/>
      <c r="D4" s="58"/>
      <c r="E4" s="58"/>
      <c r="F4" s="58"/>
      <c r="G4" s="58"/>
      <c r="I4" s="62" t="s">
        <v>1</v>
      </c>
      <c r="J4" s="62"/>
    </row>
    <row r="5" spans="1:12" ht="24" customHeight="1" x14ac:dyDescent="0.3">
      <c r="B5" s="65"/>
      <c r="C5" s="3" t="s">
        <v>6</v>
      </c>
      <c r="D5" s="3" t="s">
        <v>7</v>
      </c>
      <c r="E5" s="3" t="s">
        <v>8</v>
      </c>
      <c r="F5" s="3" t="s">
        <v>9</v>
      </c>
      <c r="G5" s="3" t="s">
        <v>10</v>
      </c>
      <c r="I5" s="63" t="s">
        <v>44</v>
      </c>
      <c r="J5" s="63"/>
      <c r="K5" s="61">
        <v>1</v>
      </c>
    </row>
    <row r="6" spans="1:12" ht="24" customHeight="1" x14ac:dyDescent="0.4">
      <c r="B6" s="65"/>
      <c r="C6" s="66" t="s">
        <v>11</v>
      </c>
      <c r="D6" s="5" t="s">
        <v>11</v>
      </c>
      <c r="E6" s="5"/>
      <c r="F6" s="5"/>
      <c r="G6" s="4" t="s">
        <v>12</v>
      </c>
      <c r="I6" s="62" t="s">
        <v>2</v>
      </c>
      <c r="J6" s="62"/>
    </row>
    <row r="7" spans="1:12" ht="24" customHeight="1" x14ac:dyDescent="0.3">
      <c r="B7" s="65"/>
      <c r="C7" s="7" t="s">
        <v>13</v>
      </c>
      <c r="D7" s="8" t="s">
        <v>13</v>
      </c>
      <c r="E7" s="8"/>
      <c r="F7" s="8"/>
      <c r="G7" s="6" t="s">
        <v>12</v>
      </c>
      <c r="I7" s="64">
        <v>150</v>
      </c>
    </row>
    <row r="8" spans="1:12" ht="24" customHeight="1" x14ac:dyDescent="0.4">
      <c r="B8" s="65"/>
      <c r="C8" s="7" t="s">
        <v>14</v>
      </c>
      <c r="D8" s="8" t="s">
        <v>14</v>
      </c>
      <c r="E8" s="8"/>
      <c r="F8" s="8"/>
      <c r="G8" s="6" t="s">
        <v>12</v>
      </c>
      <c r="I8" s="62" t="s">
        <v>3</v>
      </c>
      <c r="J8" s="62"/>
    </row>
    <row r="9" spans="1:12" ht="24" customHeight="1" x14ac:dyDescent="0.3">
      <c r="B9" s="65"/>
      <c r="C9" s="7" t="s">
        <v>15</v>
      </c>
      <c r="D9" s="8" t="s">
        <v>15</v>
      </c>
      <c r="E9" s="8"/>
      <c r="F9" s="8"/>
      <c r="G9" s="6" t="s">
        <v>12</v>
      </c>
      <c r="I9" s="64">
        <v>9600</v>
      </c>
    </row>
    <row r="10" spans="1:12" ht="24" customHeight="1" x14ac:dyDescent="0.3">
      <c r="B10" s="65"/>
      <c r="C10" s="7" t="s">
        <v>16</v>
      </c>
      <c r="D10" s="8" t="s">
        <v>16</v>
      </c>
      <c r="E10" s="8"/>
      <c r="F10" s="8"/>
      <c r="G10" s="6" t="s">
        <v>12</v>
      </c>
    </row>
    <row r="11" spans="1:12" ht="24" customHeight="1" x14ac:dyDescent="0.3">
      <c r="B11" s="65"/>
      <c r="C11" s="7" t="s">
        <v>17</v>
      </c>
      <c r="D11" s="8" t="s">
        <v>17</v>
      </c>
      <c r="E11" s="8"/>
      <c r="F11" s="8"/>
      <c r="G11" s="6" t="s">
        <v>12</v>
      </c>
    </row>
    <row r="12" spans="1:12" ht="24" customHeight="1" x14ac:dyDescent="0.3">
      <c r="B12" s="65"/>
      <c r="C12" s="7" t="s">
        <v>18</v>
      </c>
      <c r="D12" s="8" t="s">
        <v>18</v>
      </c>
      <c r="E12" s="8"/>
      <c r="F12" s="8"/>
      <c r="G12" s="6" t="s">
        <v>12</v>
      </c>
    </row>
    <row r="13" spans="1:12" ht="24" customHeight="1" x14ac:dyDescent="0.3">
      <c r="B13" s="65"/>
      <c r="C13" s="7" t="s">
        <v>19</v>
      </c>
      <c r="D13" s="8" t="s">
        <v>19</v>
      </c>
      <c r="E13" s="8"/>
      <c r="F13" s="8"/>
      <c r="G13" s="6" t="s">
        <v>12</v>
      </c>
    </row>
    <row r="14" spans="1:12" ht="24" customHeight="1" x14ac:dyDescent="0.3">
      <c r="B14" s="65"/>
      <c r="C14" s="7" t="s">
        <v>20</v>
      </c>
      <c r="D14" s="8" t="s">
        <v>20</v>
      </c>
      <c r="E14" s="8"/>
      <c r="F14" s="8"/>
      <c r="G14" s="6" t="s">
        <v>12</v>
      </c>
    </row>
    <row r="15" spans="1:12" ht="24" customHeight="1" thickBot="1" x14ac:dyDescent="0.35">
      <c r="B15" s="60"/>
      <c r="C15" s="9" t="s">
        <v>21</v>
      </c>
      <c r="D15" s="10" t="s">
        <v>21</v>
      </c>
      <c r="E15" s="10"/>
      <c r="F15" s="10"/>
      <c r="G15" s="11" t="s">
        <v>12</v>
      </c>
    </row>
    <row r="16" spans="1:12" ht="24" customHeight="1" thickTop="1" x14ac:dyDescent="0.3"/>
  </sheetData>
  <mergeCells count="9">
    <mergeCell ref="I5:J5"/>
    <mergeCell ref="I6:J6"/>
    <mergeCell ref="I8:J8"/>
    <mergeCell ref="A1:G1"/>
    <mergeCell ref="A2:G2"/>
    <mergeCell ref="B4:G4"/>
    <mergeCell ref="B3:H3"/>
    <mergeCell ref="I4:J4"/>
    <mergeCell ref="B5:B15"/>
  </mergeCells>
  <phoneticPr fontId="16" type="noConversion"/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5</vt:i4>
      </vt:variant>
      <vt:variant>
        <vt:lpstr>Pojmenované oblasti</vt:lpstr>
      </vt:variant>
      <vt:variant>
        <vt:i4>9</vt:i4>
      </vt:variant>
    </vt:vector>
  </HeadingPairs>
  <TitlesOfParts>
    <vt:vector size="14" baseType="lpstr">
      <vt:lpstr>Výsledky</vt:lpstr>
      <vt:lpstr>Vstupní data</vt:lpstr>
      <vt:lpstr>Výstupní data</vt:lpstr>
      <vt:lpstr>Nastavení</vt:lpstr>
      <vt:lpstr>Manifest</vt:lpstr>
      <vt:lpstr>DataChannelCountSetting</vt:lpstr>
      <vt:lpstr>DataDelaySetting</vt:lpstr>
      <vt:lpstr>DataOrientationSetting</vt:lpstr>
      <vt:lpstr>DataRowCountSetting</vt:lpstr>
      <vt:lpstr>Manifest_BaudRate</vt:lpstr>
      <vt:lpstr>Manifest_DataInterval</vt:lpstr>
      <vt:lpstr>Manifest_Generated</vt:lpstr>
      <vt:lpstr>Manifest_Id</vt:lpstr>
      <vt:lpstr>Manifest_Schema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Tomáš Indruch</dc:creator>
  <cp:lastModifiedBy>Tomáš Indruch</cp:lastModifiedBy>
  <dcterms:created xsi:type="dcterms:W3CDTF">2024-03-26T17:09:42Z</dcterms:created>
  <dcterms:modified xsi:type="dcterms:W3CDTF">2024-06-05T17:15:11Z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>10994670-537b-459f-9d73-4e33f6876351</vt:lpwstr>
  </property>
  <property fmtid="{D5CDD505-2E9C-101B-9397-08002B2CF9AE}" pid="3" name="Workbook type">
    <vt:lpwstr>Custom</vt:lpwstr>
  </property>
  <property fmtid="{D5CDD505-2E9C-101B-9397-08002B2CF9AE}" pid="4" name="Workbook version">
    <vt:lpwstr>Custom</vt:lpwstr>
  </property>
</Properties>
</file>